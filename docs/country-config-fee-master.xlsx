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Fee review" sheetId="2" state="visible" r:id="rId2"/>
    <sheet name="Import staging" sheetId="3" state="visible" r:id="rId3"/>
  </sheets>
  <definedNames>
    <definedName name="_xlnm._FilterDatabase" localSheetId="1" hidden="1">'Fee review'!$A$1:$O$35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1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3C7"/>
      </patternFill>
    </fill>
    <fill>
      <patternFill patternType="solid">
        <fgColor rgb="00FECAC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3" fontId="4" fillId="0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3" fillId="2" borderId="1" pivotButton="0" quotePrefix="0" xfId="0"/>
    <xf numFmtId="1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RGS country fee master sheet</t>
        </is>
      </c>
    </row>
    <row r="2">
      <c r="A2" s="2" t="inlineStr"/>
    </row>
    <row r="3">
      <c r="A3" s="2" t="inlineStr">
        <is>
          <t>Purpose: set government + service fees for EVERY active country, then Import into CRM Config.</t>
        </is>
      </c>
    </row>
    <row r="4">
      <c r="A4" s="2" t="inlineStr"/>
    </row>
    <row r="5">
      <c r="A5" s="2" t="inlineStr">
        <is>
          <t>How marketing pricing works:</t>
        </is>
      </c>
    </row>
    <row r="6">
      <c r="A6" s="2" t="inlineStr">
        <is>
          <t xml:space="preserve">  • Config stores two fields: governmentFeeInr and serviceFeeInr</t>
        </is>
      </c>
    </row>
    <row r="7">
      <c r="A7" s="2" t="inlineStr">
        <is>
          <t xml:space="preserve">  • Marketing site shows the SUM of those two (no separate total field)</t>
        </is>
      </c>
    </row>
    <row r="8">
      <c r="A8" s="2" t="inlineStr">
        <is>
          <t xml:space="preserve">  • After Import/Save in CRM, marketing.raysglobalservices.com updates on refresh (no rebuild)</t>
        </is>
      </c>
    </row>
    <row r="9">
      <c r="A9" s="2" t="inlineStr"/>
    </row>
    <row r="10">
      <c r="A10" s="2" t="inlineStr">
        <is>
          <t>What to edit (sheet: Fee review):</t>
        </is>
      </c>
    </row>
    <row r="11">
      <c r="A11" s="2" t="inlineStr">
        <is>
          <t xml:space="preserve">  • Yellow columns ONLY: proposed_governmentFeeInr, proposed_serviceFeeInr</t>
        </is>
      </c>
    </row>
    <row r="12">
      <c r="A12" s="2" t="inlineStr">
        <is>
          <t xml:space="preserve">  • proposed_totalFeeInr is a formula — do not type there</t>
        </is>
      </c>
    </row>
    <row r="13">
      <c r="A13" s="2" t="inlineStr">
        <is>
          <t xml:space="preserve">  • Do not change productCode</t>
        </is>
      </c>
    </row>
    <row r="14">
      <c r="A14" s="2" t="inlineStr"/>
    </row>
    <row r="15">
      <c r="A15" s="2" t="inlineStr">
        <is>
          <t>Already corrected in proposed column:</t>
        </is>
      </c>
    </row>
    <row r="16">
      <c r="A16" s="2" t="inlineStr">
        <is>
          <t xml:space="preserve">  • Armenia (AM) service fee was 15000 on prod (likely mistake). Proposed set to 1500 (same band as AZ/GE/EG e-visa peers).</t>
        </is>
      </c>
    </row>
    <row r="17">
      <c r="A17" s="2" t="inlineStr">
        <is>
          <t xml:space="preserve">  • Australia (AU) left at current 10800+3500=14300 until office confirms the intended split for ~15000.</t>
        </is>
      </c>
    </row>
    <row r="18">
      <c r="A18" s="2" t="inlineStr"/>
    </row>
    <row r="19">
      <c r="A19" s="2" t="inlineStr">
        <is>
          <t>When done:</t>
        </is>
      </c>
    </row>
    <row r="20">
      <c r="A20" s="2" t="inlineStr">
        <is>
          <t xml:space="preserve">  1. Fill/confirm every yellow cell</t>
        </is>
      </c>
    </row>
    <row r="21">
      <c r="A21" s="2" t="inlineStr">
        <is>
          <t xml:space="preserve">  2. Check proposed_totalFeeInr matches what customers should see</t>
        </is>
      </c>
    </row>
    <row r="22">
      <c r="A22" s="2" t="inlineStr">
        <is>
          <t xml:space="preserve">  3. Tell the engineer to regenerate Import CSV from this sheet, OR copy proposed fees into country-config-import-ready.csv</t>
        </is>
      </c>
    </row>
    <row r="23">
      <c r="A23" s="2" t="inlineStr">
        <is>
          <t xml:space="preserve">  4. CRM → Config → Import CSV → preview → save</t>
        </is>
      </c>
    </row>
    <row r="24">
      <c r="A24" s="2" t="inlineStr">
        <is>
          <t xml:space="preserve">  5. Hard-refresh marketing and spot-check 5–10 countries</t>
        </is>
      </c>
    </row>
    <row r="25">
      <c r="A25" s="2" t="inlineStr"/>
    </row>
    <row r="26">
      <c r="A26" s="2" t="inlineStr">
        <is>
          <t>Source snapshot: prod API blmrzykq5a /api/v1/config/countries on 2026-10-07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2" customWidth="1" min="9" max="9"/>
    <col width="16" customWidth="1" min="10" max="10"/>
    <col width="16" customWidth="1" min="11" max="11"/>
    <col width="14" customWidth="1" min="12" max="12"/>
    <col width="10" customWidth="1" min="13" max="13"/>
    <col width="8" customWidth="1" min="14" max="14"/>
    <col width="60" customWidth="1" min="15" max="15"/>
  </cols>
  <sheetData>
    <row r="1">
      <c r="A1" s="3" t="inlineStr">
        <is>
          <t>countryCode</t>
        </is>
      </c>
      <c r="B1" s="3" t="inlineStr">
        <is>
          <t>countryName</t>
        </is>
      </c>
      <c r="C1" s="3" t="inlineStr">
        <is>
          <t>productCode</t>
        </is>
      </c>
      <c r="D1" s="3" t="inlineStr">
        <is>
          <t>region</t>
        </is>
      </c>
      <c r="E1" s="3" t="inlineStr">
        <is>
          <t>tier</t>
        </is>
      </c>
      <c r="F1" s="3" t="inlineStr">
        <is>
          <t>visaType</t>
        </is>
      </c>
      <c r="G1" s="3" t="inlineStr">
        <is>
          <t>current_governmentFeeInr</t>
        </is>
      </c>
      <c r="H1" s="3" t="inlineStr">
        <is>
          <t>current_serviceFeeInr</t>
        </is>
      </c>
      <c r="I1" s="3" t="inlineStr">
        <is>
          <t>current_totalFeeInr</t>
        </is>
      </c>
      <c r="J1" s="3" t="inlineStr">
        <is>
          <t>proposed_governmentFeeInr</t>
        </is>
      </c>
      <c r="K1" s="3" t="inlineStr">
        <is>
          <t>proposed_serviceFeeInr</t>
        </is>
      </c>
      <c r="L1" s="3" t="inlineStr">
        <is>
          <t>proposed_totalFeeInr</t>
        </is>
      </c>
      <c r="M1" s="3" t="inlineStr">
        <is>
          <t>delta_total</t>
        </is>
      </c>
      <c r="N1" s="3" t="inlineStr">
        <is>
          <t>flag</t>
        </is>
      </c>
      <c r="O1" s="3" t="inlineStr">
        <is>
          <t>notes</t>
        </is>
      </c>
    </row>
    <row r="2">
      <c r="A2" s="4" t="inlineStr">
        <is>
          <t>AM</t>
        </is>
      </c>
      <c r="B2" s="4" t="inlineStr">
        <is>
          <t>Armenia</t>
        </is>
      </c>
      <c r="C2" s="4" t="inlineStr">
        <is>
          <t>AM_TOURIST_INFO</t>
        </is>
      </c>
      <c r="D2" s="4" t="inlineStr">
        <is>
          <t>EUROPE</t>
        </is>
      </c>
      <c r="E2" s="4" t="inlineStr">
        <is>
          <t>FULFILLED</t>
        </is>
      </c>
      <c r="F2" s="4" t="inlineStr">
        <is>
          <t>E_VISA</t>
        </is>
      </c>
      <c r="G2" s="5" t="n">
        <v>2600</v>
      </c>
      <c r="H2" s="5" t="n">
        <v>15000</v>
      </c>
      <c r="I2" s="5" t="n">
        <v>17600</v>
      </c>
      <c r="J2" s="6" t="n">
        <v>2600</v>
      </c>
      <c r="K2" s="6" t="n">
        <v>1500</v>
      </c>
      <c r="L2" s="7">
        <f>J2+K2</f>
        <v/>
      </c>
      <c r="M2" s="5">
        <f>L2-I2</f>
        <v/>
      </c>
      <c r="N2" s="8" t="inlineStr">
        <is>
          <t>FIX</t>
        </is>
      </c>
      <c r="O2" s="4" t="inlineStr">
        <is>
          <t>Prod serviceFeeInr=15000 looked mistaken; proposed 1500 (e-visa peer band). Confirm with office.</t>
        </is>
      </c>
    </row>
    <row r="3">
      <c r="A3" s="4" t="inlineStr">
        <is>
          <t>AU</t>
        </is>
      </c>
      <c r="B3" s="4" t="inlineStr">
        <is>
          <t>Australia</t>
        </is>
      </c>
      <c r="C3" s="4" t="inlineStr">
        <is>
          <t>AU_VISITOR_600</t>
        </is>
      </c>
      <c r="D3" s="4" t="inlineStr">
        <is>
          <t>OCEANIA</t>
        </is>
      </c>
      <c r="E3" s="4" t="inlineStr">
        <is>
          <t>FULFILLED</t>
        </is>
      </c>
      <c r="F3" s="4" t="inlineStr">
        <is>
          <t>ASSISTED</t>
        </is>
      </c>
      <c r="G3" s="5" t="n">
        <v>10800</v>
      </c>
      <c r="H3" s="5" t="n">
        <v>3500</v>
      </c>
      <c r="I3" s="5" t="n">
        <v>14300</v>
      </c>
      <c r="J3" s="6" t="n">
        <v>10800</v>
      </c>
      <c r="K3" s="6" t="n">
        <v>3500</v>
      </c>
      <c r="L3" s="7">
        <f>J3+K3</f>
        <v/>
      </c>
      <c r="M3" s="5">
        <f>L3-I3</f>
        <v/>
      </c>
      <c r="N3" s="9" t="inlineStr"/>
      <c r="O3" s="4" t="inlineStr">
        <is>
          <t>If target TOTAL is 15000, set gov+svc to sum to 15000 (not one box alone).</t>
        </is>
      </c>
    </row>
    <row r="4">
      <c r="A4" s="4" t="inlineStr">
        <is>
          <t>AZ</t>
        </is>
      </c>
      <c r="B4" s="4" t="inlineStr">
        <is>
          <t>Azerbaijan</t>
        </is>
      </c>
      <c r="C4" s="4" t="inlineStr">
        <is>
          <t>AZ_TOURIST_INFO</t>
        </is>
      </c>
      <c r="D4" s="4" t="inlineStr">
        <is>
          <t>EUROPE</t>
        </is>
      </c>
      <c r="E4" s="4" t="inlineStr">
        <is>
          <t>FULFILLED</t>
        </is>
      </c>
      <c r="F4" s="4" t="inlineStr">
        <is>
          <t>E_VISA</t>
        </is>
      </c>
      <c r="G4" s="5" t="n">
        <v>2200</v>
      </c>
      <c r="H4" s="5" t="n">
        <v>1500</v>
      </c>
      <c r="I4" s="5" t="n">
        <v>3700</v>
      </c>
      <c r="J4" s="6" t="n">
        <v>2200</v>
      </c>
      <c r="K4" s="6" t="n">
        <v>1500</v>
      </c>
      <c r="L4" s="7">
        <f>J4+K4</f>
        <v/>
      </c>
      <c r="M4" s="5">
        <f>L4-I4</f>
        <v/>
      </c>
      <c r="N4" s="9" t="inlineStr"/>
      <c r="O4" s="4" t="inlineStr"/>
    </row>
    <row r="5">
      <c r="A5" s="4" t="inlineStr">
        <is>
          <t>KH</t>
        </is>
      </c>
      <c r="B5" s="4" t="inlineStr">
        <is>
          <t>Cambodia</t>
        </is>
      </c>
      <c r="C5" s="4" t="inlineStr">
        <is>
          <t>KH_TOURIST_INFO</t>
        </is>
      </c>
      <c r="D5" s="4" t="inlineStr">
        <is>
          <t>ASIA</t>
        </is>
      </c>
      <c r="E5" s="4" t="inlineStr">
        <is>
          <t>FULFILLED</t>
        </is>
      </c>
      <c r="F5" s="4" t="inlineStr">
        <is>
          <t>E_VISA</t>
        </is>
      </c>
      <c r="G5" s="5" t="n">
        <v>2500</v>
      </c>
      <c r="H5" s="5" t="n">
        <v>1500</v>
      </c>
      <c r="I5" s="5" t="n">
        <v>4000</v>
      </c>
      <c r="J5" s="6" t="n">
        <v>2500</v>
      </c>
      <c r="K5" s="6" t="n">
        <v>1500</v>
      </c>
      <c r="L5" s="7">
        <f>J5+K5</f>
        <v/>
      </c>
      <c r="M5" s="5">
        <f>L5-I5</f>
        <v/>
      </c>
      <c r="N5" s="9" t="inlineStr"/>
      <c r="O5" s="4" t="inlineStr"/>
    </row>
    <row r="6">
      <c r="A6" s="4" t="inlineStr">
        <is>
          <t>CA</t>
        </is>
      </c>
      <c r="B6" s="4" t="inlineStr">
        <is>
          <t>Canada</t>
        </is>
      </c>
      <c r="C6" s="4" t="inlineStr">
        <is>
          <t>CA_VISITOR_TRV</t>
        </is>
      </c>
      <c r="D6" s="4" t="inlineStr">
        <is>
          <t>AMERICAS</t>
        </is>
      </c>
      <c r="E6" s="4" t="inlineStr">
        <is>
          <t>FULFILLED</t>
        </is>
      </c>
      <c r="F6" s="4" t="inlineStr">
        <is>
          <t>ASSISTED</t>
        </is>
      </c>
      <c r="G6" s="5" t="n">
        <v>7500</v>
      </c>
      <c r="H6" s="5" t="n">
        <v>3500</v>
      </c>
      <c r="I6" s="5" t="n">
        <v>11000</v>
      </c>
      <c r="J6" s="6" t="n">
        <v>7500</v>
      </c>
      <c r="K6" s="6" t="n">
        <v>3500</v>
      </c>
      <c r="L6" s="7">
        <f>J6+K6</f>
        <v/>
      </c>
      <c r="M6" s="5">
        <f>L6-I6</f>
        <v/>
      </c>
      <c r="N6" s="9" t="inlineStr"/>
      <c r="O6" s="4" t="inlineStr"/>
    </row>
    <row r="7">
      <c r="A7" s="4" t="inlineStr">
        <is>
          <t>CN</t>
        </is>
      </c>
      <c r="B7" s="4" t="inlineStr">
        <is>
          <t>China</t>
        </is>
      </c>
      <c r="C7" s="4" t="inlineStr">
        <is>
          <t>CN_TOURIST_INFO</t>
        </is>
      </c>
      <c r="D7" s="4" t="inlineStr">
        <is>
          <t>ASIA</t>
        </is>
      </c>
      <c r="E7" s="4" t="inlineStr">
        <is>
          <t>FULFILLED</t>
        </is>
      </c>
      <c r="F7" s="4" t="inlineStr">
        <is>
          <t>ASSISTED</t>
        </is>
      </c>
      <c r="G7" s="5" t="n">
        <v>3900</v>
      </c>
      <c r="H7" s="5" t="n">
        <v>3500</v>
      </c>
      <c r="I7" s="5" t="n">
        <v>7400</v>
      </c>
      <c r="J7" s="6" t="n">
        <v>3900</v>
      </c>
      <c r="K7" s="6" t="n">
        <v>3500</v>
      </c>
      <c r="L7" s="7">
        <f>J7+K7</f>
        <v/>
      </c>
      <c r="M7" s="5">
        <f>L7-I7</f>
        <v/>
      </c>
      <c r="N7" s="9" t="inlineStr"/>
      <c r="O7" s="4" t="inlineStr"/>
    </row>
    <row r="8">
      <c r="A8" s="4" t="inlineStr">
        <is>
          <t>EG</t>
        </is>
      </c>
      <c r="B8" s="4" t="inlineStr">
        <is>
          <t>Egypt</t>
        </is>
      </c>
      <c r="C8" s="4" t="inlineStr">
        <is>
          <t>EG_TOURIST_INFO</t>
        </is>
      </c>
      <c r="D8" s="4" t="inlineStr">
        <is>
          <t>AFRICA</t>
        </is>
      </c>
      <c r="E8" s="4" t="inlineStr">
        <is>
          <t>FULFILLED</t>
        </is>
      </c>
      <c r="F8" s="4" t="inlineStr">
        <is>
          <t>E_VISA</t>
        </is>
      </c>
      <c r="G8" s="5" t="n">
        <v>2100</v>
      </c>
      <c r="H8" s="5" t="n">
        <v>1500</v>
      </c>
      <c r="I8" s="5" t="n">
        <v>3600</v>
      </c>
      <c r="J8" s="6" t="n">
        <v>2100</v>
      </c>
      <c r="K8" s="6" t="n">
        <v>1500</v>
      </c>
      <c r="L8" s="7">
        <f>J8+K8</f>
        <v/>
      </c>
      <c r="M8" s="5">
        <f>L8-I8</f>
        <v/>
      </c>
      <c r="N8" s="9" t="inlineStr"/>
      <c r="O8" s="4" t="inlineStr"/>
    </row>
    <row r="9">
      <c r="A9" s="4" t="inlineStr">
        <is>
          <t>FR</t>
        </is>
      </c>
      <c r="B9" s="4" t="inlineStr">
        <is>
          <t>France (Schengen)</t>
        </is>
      </c>
      <c r="C9" s="4" t="inlineStr">
        <is>
          <t>FR_TOURIST_INFO</t>
        </is>
      </c>
      <c r="D9" s="4" t="inlineStr">
        <is>
          <t>EUROPE</t>
        </is>
      </c>
      <c r="E9" s="4" t="inlineStr">
        <is>
          <t>FULFILLED</t>
        </is>
      </c>
      <c r="F9" s="4" t="inlineStr">
        <is>
          <t>ASSISTED</t>
        </is>
      </c>
      <c r="G9" s="5" t="n">
        <v>8100</v>
      </c>
      <c r="H9" s="5" t="n">
        <v>4000</v>
      </c>
      <c r="I9" s="5" t="n">
        <v>12100</v>
      </c>
      <c r="J9" s="6" t="n">
        <v>8100</v>
      </c>
      <c r="K9" s="6" t="n">
        <v>4000</v>
      </c>
      <c r="L9" s="7">
        <f>J9+K9</f>
        <v/>
      </c>
      <c r="M9" s="5">
        <f>L9-I9</f>
        <v/>
      </c>
      <c r="N9" s="9" t="inlineStr"/>
      <c r="O9" s="4" t="inlineStr"/>
    </row>
    <row r="10">
      <c r="A10" s="4" t="inlineStr">
        <is>
          <t>GE</t>
        </is>
      </c>
      <c r="B10" s="4" t="inlineStr">
        <is>
          <t>Georgia</t>
        </is>
      </c>
      <c r="C10" s="4" t="inlineStr">
        <is>
          <t>GE_TOURIST_INFO</t>
        </is>
      </c>
      <c r="D10" s="4" t="inlineStr">
        <is>
          <t>EUROPE</t>
        </is>
      </c>
      <c r="E10" s="4" t="inlineStr">
        <is>
          <t>FULFILLED</t>
        </is>
      </c>
      <c r="F10" s="4" t="inlineStr">
        <is>
          <t>E_VISA</t>
        </is>
      </c>
      <c r="G10" s="5" t="n">
        <v>2100</v>
      </c>
      <c r="H10" s="5" t="n">
        <v>1500</v>
      </c>
      <c r="I10" s="5" t="n">
        <v>3600</v>
      </c>
      <c r="J10" s="6" t="n">
        <v>2100</v>
      </c>
      <c r="K10" s="6" t="n">
        <v>1500</v>
      </c>
      <c r="L10" s="7">
        <f>J10+K10</f>
        <v/>
      </c>
      <c r="M10" s="5">
        <f>L10-I10</f>
        <v/>
      </c>
      <c r="N10" s="9" t="inlineStr"/>
      <c r="O10" s="4" t="inlineStr"/>
    </row>
    <row r="11">
      <c r="A11" s="4" t="inlineStr">
        <is>
          <t>DE</t>
        </is>
      </c>
      <c r="B11" s="4" t="inlineStr">
        <is>
          <t>Germany (Schengen)</t>
        </is>
      </c>
      <c r="C11" s="4" t="inlineStr">
        <is>
          <t>DE_TOURIST_INFO</t>
        </is>
      </c>
      <c r="D11" s="4" t="inlineStr">
        <is>
          <t>EUROPE</t>
        </is>
      </c>
      <c r="E11" s="4" t="inlineStr">
        <is>
          <t>FULFILLED</t>
        </is>
      </c>
      <c r="F11" s="4" t="inlineStr">
        <is>
          <t>ASSISTED</t>
        </is>
      </c>
      <c r="G11" s="5" t="n">
        <v>8100</v>
      </c>
      <c r="H11" s="5" t="n">
        <v>4000</v>
      </c>
      <c r="I11" s="5" t="n">
        <v>12100</v>
      </c>
      <c r="J11" s="6" t="n">
        <v>8100</v>
      </c>
      <c r="K11" s="6" t="n">
        <v>4000</v>
      </c>
      <c r="L11" s="7">
        <f>J11+K11</f>
        <v/>
      </c>
      <c r="M11" s="5">
        <f>L11-I11</f>
        <v/>
      </c>
      <c r="N11" s="9" t="inlineStr"/>
      <c r="O11" s="4" t="inlineStr"/>
    </row>
    <row r="12">
      <c r="A12" s="4" t="inlineStr">
        <is>
          <t>HK</t>
        </is>
      </c>
      <c r="B12" s="4" t="inlineStr">
        <is>
          <t>Hong Kong</t>
        </is>
      </c>
      <c r="C12" s="4" t="inlineStr">
        <is>
          <t>HK_TOURIST_INFO</t>
        </is>
      </c>
      <c r="D12" s="4" t="inlineStr">
        <is>
          <t>ASIA</t>
        </is>
      </c>
      <c r="E12" s="4" t="inlineStr">
        <is>
          <t>INFO_ONLY</t>
        </is>
      </c>
      <c r="F12" s="4" t="inlineStr">
        <is>
          <t>ETA</t>
        </is>
      </c>
      <c r="G12" s="5" t="n">
        <v>0</v>
      </c>
      <c r="H12" s="5" t="n">
        <v>0</v>
      </c>
      <c r="I12" s="5" t="n">
        <v>0</v>
      </c>
      <c r="J12" s="6" t="n">
        <v>0</v>
      </c>
      <c r="K12" s="6" t="n">
        <v>0</v>
      </c>
      <c r="L12" s="7">
        <f>J12+K12</f>
        <v/>
      </c>
      <c r="M12" s="5">
        <f>L12-I12</f>
        <v/>
      </c>
      <c r="N12" s="9" t="inlineStr"/>
      <c r="O12" s="4" t="inlineStr"/>
    </row>
    <row r="13">
      <c r="A13" s="4" t="inlineStr">
        <is>
          <t>ID</t>
        </is>
      </c>
      <c r="B13" s="4" t="inlineStr">
        <is>
          <t>Indonesia</t>
        </is>
      </c>
      <c r="C13" s="4" t="inlineStr">
        <is>
          <t>ID_TOURIST_INFO</t>
        </is>
      </c>
      <c r="D13" s="4" t="inlineStr">
        <is>
          <t>ASIA</t>
        </is>
      </c>
      <c r="E13" s="4" t="inlineStr">
        <is>
          <t>INFO_ONLY</t>
        </is>
      </c>
      <c r="F13" s="4" t="inlineStr">
        <is>
          <t>VISA_ON_ARRIVAL</t>
        </is>
      </c>
      <c r="G13" s="5" t="n">
        <v>2700</v>
      </c>
      <c r="H13" s="5" t="n">
        <v>0</v>
      </c>
      <c r="I13" s="5" t="n">
        <v>2700</v>
      </c>
      <c r="J13" s="6" t="n">
        <v>2700</v>
      </c>
      <c r="K13" s="6" t="n">
        <v>0</v>
      </c>
      <c r="L13" s="7">
        <f>J13+K13</f>
        <v/>
      </c>
      <c r="M13" s="5">
        <f>L13-I13</f>
        <v/>
      </c>
      <c r="N13" s="9" t="inlineStr"/>
      <c r="O13" s="4" t="inlineStr"/>
    </row>
    <row r="14">
      <c r="A14" s="4" t="inlineStr">
        <is>
          <t>IT</t>
        </is>
      </c>
      <c r="B14" s="4" t="inlineStr">
        <is>
          <t>Italy (Schengen)</t>
        </is>
      </c>
      <c r="C14" s="4" t="inlineStr">
        <is>
          <t>IT_TOURIST_INFO</t>
        </is>
      </c>
      <c r="D14" s="4" t="inlineStr">
        <is>
          <t>EUROPE</t>
        </is>
      </c>
      <c r="E14" s="4" t="inlineStr">
        <is>
          <t>FULFILLED</t>
        </is>
      </c>
      <c r="F14" s="4" t="inlineStr">
        <is>
          <t>ASSISTED</t>
        </is>
      </c>
      <c r="G14" s="5" t="n">
        <v>8100</v>
      </c>
      <c r="H14" s="5" t="n">
        <v>4000</v>
      </c>
      <c r="I14" s="5" t="n">
        <v>12100</v>
      </c>
      <c r="J14" s="6" t="n">
        <v>8100</v>
      </c>
      <c r="K14" s="6" t="n">
        <v>4000</v>
      </c>
      <c r="L14" s="7">
        <f>J14+K14</f>
        <v/>
      </c>
      <c r="M14" s="5">
        <f>L14-I14</f>
        <v/>
      </c>
      <c r="N14" s="9" t="inlineStr"/>
      <c r="O14" s="4" t="inlineStr"/>
    </row>
    <row r="15">
      <c r="A15" s="4" t="inlineStr">
        <is>
          <t>JP</t>
        </is>
      </c>
      <c r="B15" s="4" t="inlineStr">
        <is>
          <t>Japan</t>
        </is>
      </c>
      <c r="C15" s="4" t="inlineStr">
        <is>
          <t>JP_TOURIST_INFO</t>
        </is>
      </c>
      <c r="D15" s="4" t="inlineStr">
        <is>
          <t>ASIA</t>
        </is>
      </c>
      <c r="E15" s="4" t="inlineStr">
        <is>
          <t>FULFILLED</t>
        </is>
      </c>
      <c r="F15" s="4" t="inlineStr">
        <is>
          <t>ASSISTED</t>
        </is>
      </c>
      <c r="G15" s="5" t="n">
        <v>1700</v>
      </c>
      <c r="H15" s="5" t="n">
        <v>3500</v>
      </c>
      <c r="I15" s="5" t="n">
        <v>5200</v>
      </c>
      <c r="J15" s="6" t="n">
        <v>1700</v>
      </c>
      <c r="K15" s="6" t="n">
        <v>3500</v>
      </c>
      <c r="L15" s="7">
        <f>J15+K15</f>
        <v/>
      </c>
      <c r="M15" s="5">
        <f>L15-I15</f>
        <v/>
      </c>
      <c r="N15" s="9" t="inlineStr"/>
      <c r="O15" s="4" t="inlineStr"/>
    </row>
    <row r="16">
      <c r="A16" s="4" t="inlineStr">
        <is>
          <t>KE</t>
        </is>
      </c>
      <c r="B16" s="4" t="inlineStr">
        <is>
          <t>Kenya</t>
        </is>
      </c>
      <c r="C16" s="4" t="inlineStr">
        <is>
          <t>KE_TOURIST_INFO</t>
        </is>
      </c>
      <c r="D16" s="4" t="inlineStr">
        <is>
          <t>AFRICA</t>
        </is>
      </c>
      <c r="E16" s="4" t="inlineStr">
        <is>
          <t>FULFILLED</t>
        </is>
      </c>
      <c r="F16" s="4" t="inlineStr">
        <is>
          <t>ETA</t>
        </is>
      </c>
      <c r="G16" s="5" t="n">
        <v>2900</v>
      </c>
      <c r="H16" s="5" t="n">
        <v>1500</v>
      </c>
      <c r="I16" s="5" t="n">
        <v>4400</v>
      </c>
      <c r="J16" s="6" t="n">
        <v>2900</v>
      </c>
      <c r="K16" s="6" t="n">
        <v>1500</v>
      </c>
      <c r="L16" s="7">
        <f>J16+K16</f>
        <v/>
      </c>
      <c r="M16" s="5">
        <f>L16-I16</f>
        <v/>
      </c>
      <c r="N16" s="9" t="inlineStr"/>
      <c r="O16" s="4" t="inlineStr"/>
    </row>
    <row r="17">
      <c r="A17" s="4" t="inlineStr">
        <is>
          <t>MY</t>
        </is>
      </c>
      <c r="B17" s="4" t="inlineStr">
        <is>
          <t>Malaysia</t>
        </is>
      </c>
      <c r="C17" s="4" t="inlineStr">
        <is>
          <t>MY_TOURIST_INFO</t>
        </is>
      </c>
      <c r="D17" s="4" t="inlineStr">
        <is>
          <t>ASIA</t>
        </is>
      </c>
      <c r="E17" s="4" t="inlineStr">
        <is>
          <t>INFO_ONLY</t>
        </is>
      </c>
      <c r="F17" s="4" t="inlineStr">
        <is>
          <t>VISA_FREE</t>
        </is>
      </c>
      <c r="G17" s="5" t="n">
        <v>0</v>
      </c>
      <c r="H17" s="5" t="n">
        <v>0</v>
      </c>
      <c r="I17" s="5" t="n">
        <v>0</v>
      </c>
      <c r="J17" s="6" t="n">
        <v>0</v>
      </c>
      <c r="K17" s="6" t="n">
        <v>0</v>
      </c>
      <c r="L17" s="7">
        <f>J17+K17</f>
        <v/>
      </c>
      <c r="M17" s="5">
        <f>L17-I17</f>
        <v/>
      </c>
      <c r="N17" s="9" t="inlineStr"/>
      <c r="O17" s="4" t="inlineStr"/>
    </row>
    <row r="18">
      <c r="A18" s="4" t="inlineStr">
        <is>
          <t>MV</t>
        </is>
      </c>
      <c r="B18" s="4" t="inlineStr">
        <is>
          <t>Maldives</t>
        </is>
      </c>
      <c r="C18" s="4" t="inlineStr">
        <is>
          <t>MV_TOURIST_INFO</t>
        </is>
      </c>
      <c r="D18" s="4" t="inlineStr">
        <is>
          <t>ASIA</t>
        </is>
      </c>
      <c r="E18" s="4" t="inlineStr">
        <is>
          <t>INFO_ONLY</t>
        </is>
      </c>
      <c r="F18" s="4" t="inlineStr">
        <is>
          <t>VISA_ON_ARRIVAL</t>
        </is>
      </c>
      <c r="G18" s="5" t="n">
        <v>0</v>
      </c>
      <c r="H18" s="5" t="n">
        <v>0</v>
      </c>
      <c r="I18" s="5" t="n">
        <v>0</v>
      </c>
      <c r="J18" s="6" t="n">
        <v>0</v>
      </c>
      <c r="K18" s="6" t="n">
        <v>0</v>
      </c>
      <c r="L18" s="7">
        <f>J18+K18</f>
        <v/>
      </c>
      <c r="M18" s="5">
        <f>L18-I18</f>
        <v/>
      </c>
      <c r="N18" s="9" t="inlineStr"/>
      <c r="O18" s="4" t="inlineStr"/>
    </row>
    <row r="19">
      <c r="A19" s="4" t="inlineStr">
        <is>
          <t>NP</t>
        </is>
      </c>
      <c r="B19" s="4" t="inlineStr">
        <is>
          <t>Nepal</t>
        </is>
      </c>
      <c r="C19" s="4" t="inlineStr">
        <is>
          <t>NP_TOURIST_INFO</t>
        </is>
      </c>
      <c r="D19" s="4" t="inlineStr">
        <is>
          <t>ASIA</t>
        </is>
      </c>
      <c r="E19" s="4" t="inlineStr">
        <is>
          <t>INFO_ONLY</t>
        </is>
      </c>
      <c r="F19" s="4" t="inlineStr">
        <is>
          <t>VISA_FREE</t>
        </is>
      </c>
      <c r="G19" s="5" t="n">
        <v>0</v>
      </c>
      <c r="H19" s="5" t="n">
        <v>0</v>
      </c>
      <c r="I19" s="5" t="n">
        <v>0</v>
      </c>
      <c r="J19" s="6" t="n">
        <v>0</v>
      </c>
      <c r="K19" s="6" t="n">
        <v>0</v>
      </c>
      <c r="L19" s="7">
        <f>J19+K19</f>
        <v/>
      </c>
      <c r="M19" s="5">
        <f>L19-I19</f>
        <v/>
      </c>
      <c r="N19" s="9" t="inlineStr"/>
      <c r="O19" s="4" t="inlineStr"/>
    </row>
    <row r="20">
      <c r="A20" s="4" t="inlineStr">
        <is>
          <t>NL</t>
        </is>
      </c>
      <c r="B20" s="4" t="inlineStr">
        <is>
          <t>Netherlands (Schengen)</t>
        </is>
      </c>
      <c r="C20" s="4" t="inlineStr">
        <is>
          <t>NL_TOURIST_INFO</t>
        </is>
      </c>
      <c r="D20" s="4" t="inlineStr">
        <is>
          <t>EUROPE</t>
        </is>
      </c>
      <c r="E20" s="4" t="inlineStr">
        <is>
          <t>FULFILLED</t>
        </is>
      </c>
      <c r="F20" s="4" t="inlineStr">
        <is>
          <t>ASSISTED</t>
        </is>
      </c>
      <c r="G20" s="5" t="n">
        <v>8100</v>
      </c>
      <c r="H20" s="5" t="n">
        <v>4000</v>
      </c>
      <c r="I20" s="5" t="n">
        <v>12100</v>
      </c>
      <c r="J20" s="6" t="n">
        <v>8100</v>
      </c>
      <c r="K20" s="6" t="n">
        <v>4000</v>
      </c>
      <c r="L20" s="7">
        <f>J20+K20</f>
        <v/>
      </c>
      <c r="M20" s="5">
        <f>L20-I20</f>
        <v/>
      </c>
      <c r="N20" s="9" t="inlineStr"/>
      <c r="O20" s="4" t="inlineStr"/>
    </row>
    <row r="21">
      <c r="A21" s="4" t="inlineStr">
        <is>
          <t>NZ</t>
        </is>
      </c>
      <c r="B21" s="4" t="inlineStr">
        <is>
          <t>New Zealand</t>
        </is>
      </c>
      <c r="C21" s="4" t="inlineStr">
        <is>
          <t>NZ_VISITOR</t>
        </is>
      </c>
      <c r="D21" s="4" t="inlineStr">
        <is>
          <t>OCEANIA</t>
        </is>
      </c>
      <c r="E21" s="4" t="inlineStr">
        <is>
          <t>FULFILLED</t>
        </is>
      </c>
      <c r="F21" s="4" t="inlineStr">
        <is>
          <t>ASSISTED</t>
        </is>
      </c>
      <c r="G21" s="5" t="n">
        <v>17500</v>
      </c>
      <c r="H21" s="5" t="n">
        <v>3500</v>
      </c>
      <c r="I21" s="5" t="n">
        <v>21000</v>
      </c>
      <c r="J21" s="6" t="n">
        <v>17500</v>
      </c>
      <c r="K21" s="6" t="n">
        <v>3500</v>
      </c>
      <c r="L21" s="7">
        <f>J21+K21</f>
        <v/>
      </c>
      <c r="M21" s="5">
        <f>L21-I21</f>
        <v/>
      </c>
      <c r="N21" s="9" t="inlineStr"/>
      <c r="O21" s="4" t="inlineStr"/>
    </row>
    <row r="22">
      <c r="A22" s="4" t="inlineStr">
        <is>
          <t>NG</t>
        </is>
      </c>
      <c r="B22" s="4" t="inlineStr">
        <is>
          <t>Nigeria</t>
        </is>
      </c>
      <c r="C22" s="4" t="inlineStr">
        <is>
          <t>NG_TOURIST_EVISA</t>
        </is>
      </c>
      <c r="D22" s="4" t="inlineStr">
        <is>
          <t>AFRICA</t>
        </is>
      </c>
      <c r="E22" s="4" t="inlineStr">
        <is>
          <t>FULFILLED</t>
        </is>
      </c>
      <c r="F22" s="4" t="inlineStr">
        <is>
          <t>E_VISA</t>
        </is>
      </c>
      <c r="G22" s="5" t="n">
        <v>21500</v>
      </c>
      <c r="H22" s="5" t="n">
        <v>2500</v>
      </c>
      <c r="I22" s="5" t="n">
        <v>24000</v>
      </c>
      <c r="J22" s="6" t="n">
        <v>21500</v>
      </c>
      <c r="K22" s="6" t="n">
        <v>2500</v>
      </c>
      <c r="L22" s="7">
        <f>J22+K22</f>
        <v/>
      </c>
      <c r="M22" s="5">
        <f>L22-I22</f>
        <v/>
      </c>
      <c r="N22" s="9" t="inlineStr"/>
      <c r="O22" s="4" t="inlineStr"/>
    </row>
    <row r="23">
      <c r="A23" s="4" t="inlineStr">
        <is>
          <t>PH</t>
        </is>
      </c>
      <c r="B23" s="4" t="inlineStr">
        <is>
          <t>Philippines</t>
        </is>
      </c>
      <c r="C23" s="4" t="inlineStr">
        <is>
          <t>PH_TOURIST_INFO</t>
        </is>
      </c>
      <c r="D23" s="4" t="inlineStr">
        <is>
          <t>ASIA</t>
        </is>
      </c>
      <c r="E23" s="4" t="inlineStr">
        <is>
          <t>FULFILLED</t>
        </is>
      </c>
      <c r="F23" s="4" t="inlineStr">
        <is>
          <t>ASSISTED</t>
        </is>
      </c>
      <c r="G23" s="5" t="n">
        <v>3000</v>
      </c>
      <c r="H23" s="5" t="n">
        <v>2500</v>
      </c>
      <c r="I23" s="5" t="n">
        <v>5500</v>
      </c>
      <c r="J23" s="6" t="n">
        <v>3000</v>
      </c>
      <c r="K23" s="6" t="n">
        <v>2500</v>
      </c>
      <c r="L23" s="7">
        <f>J23+K23</f>
        <v/>
      </c>
      <c r="M23" s="5">
        <f>L23-I23</f>
        <v/>
      </c>
      <c r="N23" s="9" t="inlineStr"/>
      <c r="O23" s="4" t="inlineStr"/>
    </row>
    <row r="24">
      <c r="A24" s="4" t="inlineStr">
        <is>
          <t>SG</t>
        </is>
      </c>
      <c r="B24" s="4" t="inlineStr">
        <is>
          <t>Singapore</t>
        </is>
      </c>
      <c r="C24" s="4" t="inlineStr">
        <is>
          <t>SG_TOURIST_INFO</t>
        </is>
      </c>
      <c r="D24" s="4" t="inlineStr">
        <is>
          <t>ASIA</t>
        </is>
      </c>
      <c r="E24" s="4" t="inlineStr">
        <is>
          <t>FULFILLED</t>
        </is>
      </c>
      <c r="F24" s="4" t="inlineStr">
        <is>
          <t>E_VISA</t>
        </is>
      </c>
      <c r="G24" s="5" t="n">
        <v>2600</v>
      </c>
      <c r="H24" s="5" t="n">
        <v>1500</v>
      </c>
      <c r="I24" s="5" t="n">
        <v>4100</v>
      </c>
      <c r="J24" s="6" t="n">
        <v>2600</v>
      </c>
      <c r="K24" s="6" t="n">
        <v>1500</v>
      </c>
      <c r="L24" s="7">
        <f>J24+K24</f>
        <v/>
      </c>
      <c r="M24" s="5">
        <f>L24-I24</f>
        <v/>
      </c>
      <c r="N24" s="9" t="inlineStr"/>
      <c r="O24" s="4" t="inlineStr"/>
    </row>
    <row r="25">
      <c r="A25" s="4" t="inlineStr">
        <is>
          <t>KR</t>
        </is>
      </c>
      <c r="B25" s="4" t="inlineStr">
        <is>
          <t>South Korea</t>
        </is>
      </c>
      <c r="C25" s="4" t="inlineStr">
        <is>
          <t>KR_TOURIST_INFO</t>
        </is>
      </c>
      <c r="D25" s="4" t="inlineStr">
        <is>
          <t>ASIA</t>
        </is>
      </c>
      <c r="E25" s="4" t="inlineStr">
        <is>
          <t>FULFILLED</t>
        </is>
      </c>
      <c r="F25" s="4" t="inlineStr">
        <is>
          <t>ASSISTED</t>
        </is>
      </c>
      <c r="G25" s="5" t="n">
        <v>3400</v>
      </c>
      <c r="H25" s="5" t="n">
        <v>3500</v>
      </c>
      <c r="I25" s="5" t="n">
        <v>6900</v>
      </c>
      <c r="J25" s="6" t="n">
        <v>3400</v>
      </c>
      <c r="K25" s="6" t="n">
        <v>3500</v>
      </c>
      <c r="L25" s="7">
        <f>J25+K25</f>
        <v/>
      </c>
      <c r="M25" s="5">
        <f>L25-I25</f>
        <v/>
      </c>
      <c r="N25" s="9" t="inlineStr"/>
      <c r="O25" s="4" t="inlineStr"/>
    </row>
    <row r="26">
      <c r="A26" s="4" t="inlineStr">
        <is>
          <t>LK</t>
        </is>
      </c>
      <c r="B26" s="4" t="inlineStr">
        <is>
          <t>Sri Lanka</t>
        </is>
      </c>
      <c r="C26" s="4" t="inlineStr">
        <is>
          <t>LK_TOURIST_INFO</t>
        </is>
      </c>
      <c r="D26" s="4" t="inlineStr">
        <is>
          <t>ASIA</t>
        </is>
      </c>
      <c r="E26" s="4" t="inlineStr">
        <is>
          <t>INFO_ONLY</t>
        </is>
      </c>
      <c r="F26" s="4" t="inlineStr">
        <is>
          <t>ETA</t>
        </is>
      </c>
      <c r="G26" s="5" t="n">
        <v>0</v>
      </c>
      <c r="H26" s="5" t="n">
        <v>0</v>
      </c>
      <c r="I26" s="5" t="n">
        <v>0</v>
      </c>
      <c r="J26" s="6" t="n">
        <v>0</v>
      </c>
      <c r="K26" s="6" t="n">
        <v>0</v>
      </c>
      <c r="L26" s="7">
        <f>J26+K26</f>
        <v/>
      </c>
      <c r="M26" s="5">
        <f>L26-I26</f>
        <v/>
      </c>
      <c r="N26" s="9" t="inlineStr"/>
      <c r="O26" s="4" t="inlineStr"/>
    </row>
    <row r="27">
      <c r="A27" s="4" t="inlineStr">
        <is>
          <t>TZ</t>
        </is>
      </c>
      <c r="B27" s="4" t="inlineStr">
        <is>
          <t>Tanzania</t>
        </is>
      </c>
      <c r="C27" s="4" t="inlineStr">
        <is>
          <t>TZ_TOURIST_EVISA</t>
        </is>
      </c>
      <c r="D27" s="4" t="inlineStr">
        <is>
          <t>AFRICA</t>
        </is>
      </c>
      <c r="E27" s="4" t="inlineStr">
        <is>
          <t>FULFILLED</t>
        </is>
      </c>
      <c r="F27" s="4" t="inlineStr">
        <is>
          <t>E_VISA</t>
        </is>
      </c>
      <c r="G27" s="5" t="n">
        <v>4300</v>
      </c>
      <c r="H27" s="5" t="n">
        <v>1500</v>
      </c>
      <c r="I27" s="5" t="n">
        <v>5800</v>
      </c>
      <c r="J27" s="6" t="n">
        <v>4300</v>
      </c>
      <c r="K27" s="6" t="n">
        <v>1500</v>
      </c>
      <c r="L27" s="7">
        <f>J27+K27</f>
        <v/>
      </c>
      <c r="M27" s="5">
        <f>L27-I27</f>
        <v/>
      </c>
      <c r="N27" s="9" t="inlineStr"/>
      <c r="O27" s="4" t="inlineStr"/>
    </row>
    <row r="28">
      <c r="A28" s="4" t="inlineStr">
        <is>
          <t>TH</t>
        </is>
      </c>
      <c r="B28" s="4" t="inlineStr">
        <is>
          <t>Thailand</t>
        </is>
      </c>
      <c r="C28" s="4" t="inlineStr">
        <is>
          <t>TH_TOURIST_INFO</t>
        </is>
      </c>
      <c r="D28" s="4" t="inlineStr">
        <is>
          <t>ASIA</t>
        </is>
      </c>
      <c r="E28" s="4" t="inlineStr">
        <is>
          <t>INFO_ONLY</t>
        </is>
      </c>
      <c r="F28" s="4" t="inlineStr">
        <is>
          <t>VISA_FREE</t>
        </is>
      </c>
      <c r="G28" s="5" t="n">
        <v>0</v>
      </c>
      <c r="H28" s="5" t="n">
        <v>0</v>
      </c>
      <c r="I28" s="5" t="n">
        <v>0</v>
      </c>
      <c r="J28" s="6" t="n">
        <v>0</v>
      </c>
      <c r="K28" s="6" t="n">
        <v>0</v>
      </c>
      <c r="L28" s="7">
        <f>J28+K28</f>
        <v/>
      </c>
      <c r="M28" s="5">
        <f>L28-I28</f>
        <v/>
      </c>
      <c r="N28" s="9" t="inlineStr"/>
      <c r="O28" s="4" t="inlineStr"/>
    </row>
    <row r="29">
      <c r="A29" s="4" t="inlineStr">
        <is>
          <t>TR</t>
        </is>
      </c>
      <c r="B29" s="4" t="inlineStr">
        <is>
          <t>Türkiye</t>
        </is>
      </c>
      <c r="C29" s="4" t="inlineStr">
        <is>
          <t>TR_TOURIST_INFO</t>
        </is>
      </c>
      <c r="D29" s="4" t="inlineStr">
        <is>
          <t>MIDDLE_EAST</t>
        </is>
      </c>
      <c r="E29" s="4" t="inlineStr">
        <is>
          <t>FULFILLED</t>
        </is>
      </c>
      <c r="F29" s="4" t="inlineStr">
        <is>
          <t>ASSISTED</t>
        </is>
      </c>
      <c r="G29" s="5" t="n">
        <v>5100</v>
      </c>
      <c r="H29" s="5" t="n">
        <v>3500</v>
      </c>
      <c r="I29" s="5" t="n">
        <v>8600</v>
      </c>
      <c r="J29" s="6" t="n">
        <v>5100</v>
      </c>
      <c r="K29" s="6" t="n">
        <v>3500</v>
      </c>
      <c r="L29" s="7">
        <f>J29+K29</f>
        <v/>
      </c>
      <c r="M29" s="5">
        <f>L29-I29</f>
        <v/>
      </c>
      <c r="N29" s="9" t="inlineStr"/>
      <c r="O29" s="4" t="inlineStr"/>
    </row>
    <row r="30">
      <c r="A30" s="4" t="inlineStr">
        <is>
          <t>UG</t>
        </is>
      </c>
      <c r="B30" s="4" t="inlineStr">
        <is>
          <t>Uganda</t>
        </is>
      </c>
      <c r="C30" s="4" t="inlineStr">
        <is>
          <t>UG_TOURIST_EVISA</t>
        </is>
      </c>
      <c r="D30" s="4" t="inlineStr">
        <is>
          <t>AFRICA</t>
        </is>
      </c>
      <c r="E30" s="4" t="inlineStr">
        <is>
          <t>FULFILLED</t>
        </is>
      </c>
      <c r="F30" s="4" t="inlineStr">
        <is>
          <t>E_VISA</t>
        </is>
      </c>
      <c r="G30" s="5" t="n">
        <v>4300</v>
      </c>
      <c r="H30" s="5" t="n">
        <v>1500</v>
      </c>
      <c r="I30" s="5" t="n">
        <v>5800</v>
      </c>
      <c r="J30" s="6" t="n">
        <v>4300</v>
      </c>
      <c r="K30" s="6" t="n">
        <v>1500</v>
      </c>
      <c r="L30" s="7">
        <f>J30+K30</f>
        <v/>
      </c>
      <c r="M30" s="5">
        <f>L30-I30</f>
        <v/>
      </c>
      <c r="N30" s="9" t="inlineStr"/>
      <c r="O30" s="4" t="inlineStr"/>
    </row>
    <row r="31">
      <c r="A31" s="4" t="inlineStr">
        <is>
          <t>AE</t>
        </is>
      </c>
      <c r="B31" s="4" t="inlineStr">
        <is>
          <t>United Arab Emirates</t>
        </is>
      </c>
      <c r="C31" s="4" t="inlineStr">
        <is>
          <t>AE_TOURIST_30D_SINGLE</t>
        </is>
      </c>
      <c r="D31" s="4" t="inlineStr">
        <is>
          <t>MIDDLE_EAST</t>
        </is>
      </c>
      <c r="E31" s="4" t="inlineStr">
        <is>
          <t>FULFILLED</t>
        </is>
      </c>
      <c r="F31" s="4" t="inlineStr">
        <is>
          <t>E_VISA</t>
        </is>
      </c>
      <c r="G31" s="5" t="n">
        <v>6500</v>
      </c>
      <c r="H31" s="5" t="n">
        <v>1500</v>
      </c>
      <c r="I31" s="5" t="n">
        <v>8000</v>
      </c>
      <c r="J31" s="6" t="n">
        <v>6500</v>
      </c>
      <c r="K31" s="6" t="n">
        <v>1500</v>
      </c>
      <c r="L31" s="7">
        <f>J31+K31</f>
        <v/>
      </c>
      <c r="M31" s="5">
        <f>L31-I31</f>
        <v/>
      </c>
      <c r="N31" s="9" t="inlineStr"/>
      <c r="O31" s="4" t="inlineStr"/>
    </row>
    <row r="32">
      <c r="A32" s="4" t="inlineStr">
        <is>
          <t>GB</t>
        </is>
      </c>
      <c r="B32" s="4" t="inlineStr">
        <is>
          <t>United Kingdom</t>
        </is>
      </c>
      <c r="C32" s="4" t="inlineStr">
        <is>
          <t>GB_TOURIST_INFO</t>
        </is>
      </c>
      <c r="D32" s="4" t="inlineStr">
        <is>
          <t>EUROPE</t>
        </is>
      </c>
      <c r="E32" s="4" t="inlineStr">
        <is>
          <t>FULFILLED</t>
        </is>
      </c>
      <c r="F32" s="4" t="inlineStr">
        <is>
          <t>ASSISTED</t>
        </is>
      </c>
      <c r="G32" s="5" t="n">
        <v>12300</v>
      </c>
      <c r="H32" s="5" t="n">
        <v>4000</v>
      </c>
      <c r="I32" s="5" t="n">
        <v>16300</v>
      </c>
      <c r="J32" s="6" t="n">
        <v>12300</v>
      </c>
      <c r="K32" s="6" t="n">
        <v>4000</v>
      </c>
      <c r="L32" s="7">
        <f>J32+K32</f>
        <v/>
      </c>
      <c r="M32" s="5">
        <f>L32-I32</f>
        <v/>
      </c>
      <c r="N32" s="9" t="inlineStr"/>
      <c r="O32" s="4" t="inlineStr"/>
    </row>
    <row r="33">
      <c r="A33" s="4" t="inlineStr">
        <is>
          <t>US</t>
        </is>
      </c>
      <c r="B33" s="4" t="inlineStr">
        <is>
          <t>United States</t>
        </is>
      </c>
      <c r="C33" s="4" t="inlineStr">
        <is>
          <t>US_TOURIST_INFO</t>
        </is>
      </c>
      <c r="D33" s="4" t="inlineStr">
        <is>
          <t>AMERICAS</t>
        </is>
      </c>
      <c r="E33" s="4" t="inlineStr">
        <is>
          <t>FULFILLED</t>
        </is>
      </c>
      <c r="F33" s="4" t="inlineStr">
        <is>
          <t>ASSISTED</t>
        </is>
      </c>
      <c r="G33" s="5" t="n">
        <v>15500</v>
      </c>
      <c r="H33" s="5" t="n">
        <v>4500</v>
      </c>
      <c r="I33" s="5" t="n">
        <v>20000</v>
      </c>
      <c r="J33" s="6" t="n">
        <v>15500</v>
      </c>
      <c r="K33" s="6" t="n">
        <v>4500</v>
      </c>
      <c r="L33" s="7">
        <f>J33+K33</f>
        <v/>
      </c>
      <c r="M33" s="5">
        <f>L33-I33</f>
        <v/>
      </c>
      <c r="N33" s="9" t="inlineStr"/>
      <c r="O33" s="4" t="inlineStr"/>
    </row>
    <row r="34">
      <c r="A34" s="4" t="inlineStr">
        <is>
          <t>VN</t>
        </is>
      </c>
      <c r="B34" s="4" t="inlineStr">
        <is>
          <t>Vietnam</t>
        </is>
      </c>
      <c r="C34" s="4" t="inlineStr">
        <is>
          <t>VN_TOURIST_INFO</t>
        </is>
      </c>
      <c r="D34" s="4" t="inlineStr">
        <is>
          <t>ASIA</t>
        </is>
      </c>
      <c r="E34" s="4" t="inlineStr">
        <is>
          <t>FULFILLED</t>
        </is>
      </c>
      <c r="F34" s="4" t="inlineStr">
        <is>
          <t>E_VISA</t>
        </is>
      </c>
      <c r="G34" s="5" t="n">
        <v>2100</v>
      </c>
      <c r="H34" s="5" t="n">
        <v>1500</v>
      </c>
      <c r="I34" s="5" t="n">
        <v>3600</v>
      </c>
      <c r="J34" s="6" t="n">
        <v>2100</v>
      </c>
      <c r="K34" s="6" t="n">
        <v>1500</v>
      </c>
      <c r="L34" s="7">
        <f>J34+K34</f>
        <v/>
      </c>
      <c r="M34" s="5">
        <f>L34-I34</f>
        <v/>
      </c>
      <c r="N34" s="9" t="inlineStr"/>
      <c r="O34" s="4" t="inlineStr"/>
    </row>
    <row r="35">
      <c r="A35" s="4" t="inlineStr">
        <is>
          <t>ZM</t>
        </is>
      </c>
      <c r="B35" s="4" t="inlineStr">
        <is>
          <t>Zambia</t>
        </is>
      </c>
      <c r="C35" s="4" t="inlineStr">
        <is>
          <t>ZM_TOURIST_EVISA</t>
        </is>
      </c>
      <c r="D35" s="4" t="inlineStr">
        <is>
          <t>AFRICA</t>
        </is>
      </c>
      <c r="E35" s="4" t="inlineStr">
        <is>
          <t>FULFILLED</t>
        </is>
      </c>
      <c r="F35" s="4" t="inlineStr">
        <is>
          <t>E_VISA</t>
        </is>
      </c>
      <c r="G35" s="5" t="n">
        <v>2200</v>
      </c>
      <c r="H35" s="5" t="n">
        <v>1500</v>
      </c>
      <c r="I35" s="5" t="n">
        <v>3700</v>
      </c>
      <c r="J35" s="6" t="n">
        <v>2200</v>
      </c>
      <c r="K35" s="6" t="n">
        <v>1500</v>
      </c>
      <c r="L35" s="7">
        <f>J35+K35</f>
        <v/>
      </c>
      <c r="M35" s="5">
        <f>L35-I35</f>
        <v/>
      </c>
      <c r="N35" s="9" t="inlineStr"/>
      <c r="O35" s="4" t="inlineStr"/>
    </row>
    <row r="37">
      <c r="A37" s="10" t="inlineStr">
        <is>
          <t>Yellow cells = edit these. proposed_totalFeeInr and delta_total are formulas.</t>
        </is>
      </c>
    </row>
  </sheetData>
  <autoFilter ref="A1:O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50" customWidth="1" min="13" max="13"/>
    <col width="14" customWidth="1" min="14" max="14"/>
    <col width="14" customWidth="1" min="15" max="15"/>
  </cols>
  <sheetData>
    <row r="1">
      <c r="A1" s="11" t="inlineStr">
        <is>
          <t>countryCode</t>
        </is>
      </c>
      <c r="B1" s="11" t="inlineStr">
        <is>
          <t>productCode</t>
        </is>
      </c>
      <c r="C1" s="11" t="inlineStr">
        <is>
          <t>countryName</t>
        </is>
      </c>
      <c r="D1" s="11" t="inlineStr">
        <is>
          <t>visaType</t>
        </is>
      </c>
      <c r="E1" s="11" t="inlineStr">
        <is>
          <t>region</t>
        </is>
      </c>
      <c r="F1" s="11" t="inlineStr">
        <is>
          <t>tier</t>
        </is>
      </c>
      <c r="G1" s="11" t="inlineStr">
        <is>
          <t>validityDays</t>
        </is>
      </c>
      <c r="H1" s="11" t="inlineStr">
        <is>
          <t>stayDays</t>
        </is>
      </c>
      <c r="I1" s="11" t="inlineStr">
        <is>
          <t>entry</t>
        </is>
      </c>
      <c r="J1" s="11" t="inlineStr">
        <is>
          <t>governmentFeeInr</t>
        </is>
      </c>
      <c r="K1" s="11" t="inlineStr">
        <is>
          <t>serviceFeeInr</t>
        </is>
      </c>
      <c r="L1" s="11" t="inlineStr">
        <is>
          <t>processingDays</t>
        </is>
      </c>
      <c r="M1" s="11" t="inlineStr">
        <is>
          <t>requiredDocuments</t>
        </is>
      </c>
      <c r="N1" s="11" t="inlineStr">
        <is>
          <t>active</t>
        </is>
      </c>
      <c r="O1" s="11" t="inlineStr">
        <is>
          <t>officialUrl</t>
        </is>
      </c>
    </row>
    <row r="2">
      <c r="A2" s="4" t="inlineStr">
        <is>
          <t>AM</t>
        </is>
      </c>
      <c r="B2" s="4" t="inlineStr">
        <is>
          <t>AM_TOURIST_INFO</t>
        </is>
      </c>
      <c r="C2" s="4" t="inlineStr">
        <is>
          <t>Armenia</t>
        </is>
      </c>
      <c r="D2" s="4" t="inlineStr">
        <is>
          <t>E_VISA</t>
        </is>
      </c>
      <c r="E2" s="4" t="inlineStr">
        <is>
          <t>EUROPE</t>
        </is>
      </c>
      <c r="F2" s="4" t="inlineStr">
        <is>
          <t>FULFILLED</t>
        </is>
      </c>
      <c r="G2" s="12" t="n">
        <v>120</v>
      </c>
      <c r="H2" s="12" t="n">
        <v>21</v>
      </c>
      <c r="I2" s="4" t="inlineStr">
        <is>
          <t>SINGLE</t>
        </is>
      </c>
      <c r="J2" s="12" t="n">
        <v>2600</v>
      </c>
      <c r="K2" s="12" t="n">
        <v>1500</v>
      </c>
      <c r="L2" s="12" t="n">
        <v>3</v>
      </c>
      <c r="M2" s="4" t="inlineStr">
        <is>
          <t>Passport bio page|PASSPORT_BIO;Passport-size photo|PHOTO</t>
        </is>
      </c>
      <c r="N2" s="4" t="inlineStr">
        <is>
          <t>true</t>
        </is>
      </c>
      <c r="O2" s="4" t="inlineStr">
        <is>
          <t>https://evisa.mfa.am</t>
        </is>
      </c>
    </row>
    <row r="3">
      <c r="A3" s="4" t="inlineStr">
        <is>
          <t>AU</t>
        </is>
      </c>
      <c r="B3" s="4" t="inlineStr">
        <is>
          <t>AU_VISITOR_600</t>
        </is>
      </c>
      <c r="C3" s="4" t="inlineStr">
        <is>
          <t>Australia</t>
        </is>
      </c>
      <c r="D3" s="4" t="inlineStr">
        <is>
          <t>ASSISTED</t>
        </is>
      </c>
      <c r="E3" s="4" t="inlineStr">
        <is>
          <t>OCEANIA</t>
        </is>
      </c>
      <c r="F3" s="4" t="inlineStr">
        <is>
          <t>FULFILLED</t>
        </is>
      </c>
      <c r="G3" s="12" t="n">
        <v>365</v>
      </c>
      <c r="H3" s="12" t="n">
        <v>90</v>
      </c>
      <c r="I3" s="4" t="inlineStr">
        <is>
          <t>MULTIPLE</t>
        </is>
      </c>
      <c r="J3" s="12" t="n">
        <v>10800</v>
      </c>
      <c r="K3" s="12" t="n">
        <v>3500</v>
      </c>
      <c r="L3" s="12" t="n">
        <v>30</v>
      </c>
      <c r="M3" s="4" t="inlineStr">
        <is>
          <t>Passport bio page|PASSPORT_BIO;Passport-size photo|PHOTO;Bank statements (last 3–6 months)|BANK_STATEMENT;Income tax returns (last 2 years)|ITR;Employment proof / business registration|EMPLOYMENT_PROOF</t>
        </is>
      </c>
      <c r="N3" s="4" t="inlineStr">
        <is>
          <t>true</t>
        </is>
      </c>
      <c r="O3" s="4" t="inlineStr"/>
    </row>
    <row r="4">
      <c r="A4" s="4" t="inlineStr">
        <is>
          <t>AZ</t>
        </is>
      </c>
      <c r="B4" s="4" t="inlineStr">
        <is>
          <t>AZ_TOURIST_INFO</t>
        </is>
      </c>
      <c r="C4" s="4" t="inlineStr">
        <is>
          <t>Azerbaijan</t>
        </is>
      </c>
      <c r="D4" s="4" t="inlineStr">
        <is>
          <t>E_VISA</t>
        </is>
      </c>
      <c r="E4" s="4" t="inlineStr">
        <is>
          <t>EUROPE</t>
        </is>
      </c>
      <c r="F4" s="4" t="inlineStr">
        <is>
          <t>FULFILLED</t>
        </is>
      </c>
      <c r="G4" s="12" t="n">
        <v>90</v>
      </c>
      <c r="H4" s="12" t="n">
        <v>30</v>
      </c>
      <c r="I4" s="4" t="inlineStr">
        <is>
          <t>SINGLE</t>
        </is>
      </c>
      <c r="J4" s="12" t="n">
        <v>2200</v>
      </c>
      <c r="K4" s="12" t="n">
        <v>1500</v>
      </c>
      <c r="L4" s="12" t="n">
        <v>3</v>
      </c>
      <c r="M4" s="4" t="inlineStr">
        <is>
          <t>Passport bio page|PASSPORT_BIO;Passport-size photo|PHOTO</t>
        </is>
      </c>
      <c r="N4" s="4" t="inlineStr">
        <is>
          <t>true</t>
        </is>
      </c>
      <c r="O4" s="4" t="inlineStr">
        <is>
          <t>https://evisa.gov.az</t>
        </is>
      </c>
    </row>
    <row r="5">
      <c r="A5" s="4" t="inlineStr">
        <is>
          <t>KH</t>
        </is>
      </c>
      <c r="B5" s="4" t="inlineStr">
        <is>
          <t>KH_TOURIST_INFO</t>
        </is>
      </c>
      <c r="C5" s="4" t="inlineStr">
        <is>
          <t>Cambodia</t>
        </is>
      </c>
      <c r="D5" s="4" t="inlineStr">
        <is>
          <t>E_VISA</t>
        </is>
      </c>
      <c r="E5" s="4" t="inlineStr">
        <is>
          <t>ASIA</t>
        </is>
      </c>
      <c r="F5" s="4" t="inlineStr">
        <is>
          <t>FULFILLED</t>
        </is>
      </c>
      <c r="G5" s="12" t="n">
        <v>90</v>
      </c>
      <c r="H5" s="12" t="n">
        <v>30</v>
      </c>
      <c r="I5" s="4" t="inlineStr">
        <is>
          <t>SINGLE</t>
        </is>
      </c>
      <c r="J5" s="12" t="n">
        <v>2500</v>
      </c>
      <c r="K5" s="12" t="n">
        <v>1500</v>
      </c>
      <c r="L5" s="12" t="n">
        <v>3</v>
      </c>
      <c r="M5" s="4" t="inlineStr">
        <is>
          <t>Passport bio page|PASSPORT_BIO;Passport-size photo|PHOTO</t>
        </is>
      </c>
      <c r="N5" s="4" t="inlineStr">
        <is>
          <t>true</t>
        </is>
      </c>
      <c r="O5" s="4" t="inlineStr">
        <is>
          <t>https://www.evisa.gov.kh</t>
        </is>
      </c>
    </row>
    <row r="6">
      <c r="A6" s="4" t="inlineStr">
        <is>
          <t>CA</t>
        </is>
      </c>
      <c r="B6" s="4" t="inlineStr">
        <is>
          <t>CA_VISITOR_TRV</t>
        </is>
      </c>
      <c r="C6" s="4" t="inlineStr">
        <is>
          <t>Canada</t>
        </is>
      </c>
      <c r="D6" s="4" t="inlineStr">
        <is>
          <t>ASSISTED</t>
        </is>
      </c>
      <c r="E6" s="4" t="inlineStr">
        <is>
          <t>AMERICAS</t>
        </is>
      </c>
      <c r="F6" s="4" t="inlineStr">
        <is>
          <t>FULFILLED</t>
        </is>
      </c>
      <c r="G6" s="12" t="n">
        <v>3650</v>
      </c>
      <c r="H6" s="12" t="n">
        <v>180</v>
      </c>
      <c r="I6" s="4" t="inlineStr">
        <is>
          <t>MULTIPLE</t>
        </is>
      </c>
      <c r="J6" s="12" t="n">
        <v>7500</v>
      </c>
      <c r="K6" s="12" t="n">
        <v>3500</v>
      </c>
      <c r="L6" s="12" t="n">
        <v>45</v>
      </c>
      <c r="M6" s="4" t="inlineStr">
        <is>
          <t>Passport bio page|PASSPORT_BIO;Passport-size photo|PHOTO;Bank statements (last 3–6 months)|BANK_STATEMENT;Income tax returns (last 2 years)|ITR;Employment proof / business registration|EMPLOYMENT_PROOF</t>
        </is>
      </c>
      <c r="N6" s="4" t="inlineStr">
        <is>
          <t>true</t>
        </is>
      </c>
      <c r="O6" s="4" t="inlineStr"/>
    </row>
    <row r="7">
      <c r="A7" s="4" t="inlineStr">
        <is>
          <t>CN</t>
        </is>
      </c>
      <c r="B7" s="4" t="inlineStr">
        <is>
          <t>CN_TOURIST_INFO</t>
        </is>
      </c>
      <c r="C7" s="4" t="inlineStr">
        <is>
          <t>China</t>
        </is>
      </c>
      <c r="D7" s="4" t="inlineStr">
        <is>
          <t>ASSISTED</t>
        </is>
      </c>
      <c r="E7" s="4" t="inlineStr">
        <is>
          <t>ASIA</t>
        </is>
      </c>
      <c r="F7" s="4" t="inlineStr">
        <is>
          <t>FULFILLED</t>
        </is>
      </c>
      <c r="G7" s="12" t="n">
        <v>90</v>
      </c>
      <c r="H7" s="12" t="n">
        <v>30</v>
      </c>
      <c r="I7" s="4" t="inlineStr">
        <is>
          <t>SINGLE</t>
        </is>
      </c>
      <c r="J7" s="12" t="n">
        <v>3900</v>
      </c>
      <c r="K7" s="12" t="n">
        <v>3500</v>
      </c>
      <c r="L7" s="12" t="n">
        <v>5</v>
      </c>
      <c r="M7" s="4" t="inlineStr">
        <is>
          <t>Passport bio page|PASSPORT_BIO;Passport-size photo|PHOTO;Bank statements (last 3–6 months)|BANK_STATEMENT;Return flight itinerary|FLIGHT_ITINERARY;Hotel booking or stay proof|HOTEL_BOOKING</t>
        </is>
      </c>
      <c r="N7" s="4" t="inlineStr">
        <is>
          <t>true</t>
        </is>
      </c>
      <c r="O7" s="4" t="inlineStr">
        <is>
          <t>https://www.visaforchina.cn</t>
        </is>
      </c>
    </row>
    <row r="8">
      <c r="A8" s="4" t="inlineStr">
        <is>
          <t>EG</t>
        </is>
      </c>
      <c r="B8" s="4" t="inlineStr">
        <is>
          <t>EG_TOURIST_INFO</t>
        </is>
      </c>
      <c r="C8" s="4" t="inlineStr">
        <is>
          <t>Egypt</t>
        </is>
      </c>
      <c r="D8" s="4" t="inlineStr">
        <is>
          <t>E_VISA</t>
        </is>
      </c>
      <c r="E8" s="4" t="inlineStr">
        <is>
          <t>AFRICA</t>
        </is>
      </c>
      <c r="F8" s="4" t="inlineStr">
        <is>
          <t>FULFILLED</t>
        </is>
      </c>
      <c r="G8" s="12" t="n">
        <v>90</v>
      </c>
      <c r="H8" s="12" t="n">
        <v>30</v>
      </c>
      <c r="I8" s="4" t="inlineStr">
        <is>
          <t>SINGLE</t>
        </is>
      </c>
      <c r="J8" s="12" t="n">
        <v>2100</v>
      </c>
      <c r="K8" s="12" t="n">
        <v>1500</v>
      </c>
      <c r="L8" s="12" t="n">
        <v>5</v>
      </c>
      <c r="M8" s="4" t="inlineStr">
        <is>
          <t>Passport bio page|PASSPORT_BIO;Passport-size photo|PHOTO</t>
        </is>
      </c>
      <c r="N8" s="4" t="inlineStr">
        <is>
          <t>true</t>
        </is>
      </c>
      <c r="O8" s="4" t="inlineStr">
        <is>
          <t>https://visa2egypt.gov.eg</t>
        </is>
      </c>
    </row>
    <row r="9">
      <c r="A9" s="4" t="inlineStr">
        <is>
          <t>FR</t>
        </is>
      </c>
      <c r="B9" s="4" t="inlineStr">
        <is>
          <t>FR_TOURIST_INFO</t>
        </is>
      </c>
      <c r="C9" s="4" t="inlineStr">
        <is>
          <t>France (Schengen)</t>
        </is>
      </c>
      <c r="D9" s="4" t="inlineStr">
        <is>
          <t>ASSISTED</t>
        </is>
      </c>
      <c r="E9" s="4" t="inlineStr">
        <is>
          <t>EUROPE</t>
        </is>
      </c>
      <c r="F9" s="4" t="inlineStr">
        <is>
          <t>FULFILLED</t>
        </is>
      </c>
      <c r="G9" s="12" t="n">
        <v>180</v>
      </c>
      <c r="H9" s="12" t="n">
        <v>90</v>
      </c>
      <c r="I9" s="4" t="inlineStr">
        <is>
          <t>MULTIPLE</t>
        </is>
      </c>
      <c r="J9" s="12" t="n">
        <v>8100</v>
      </c>
      <c r="K9" s="12" t="n">
        <v>4000</v>
      </c>
      <c r="L9" s="12" t="n">
        <v>15</v>
      </c>
      <c r="M9" s="4" t="inlineStr">
        <is>
          <t>Passport bio page|PASSPORT_BIO;Passport-size photo|PHOTO;Bank statements (last 3–6 months)|BANK_STATEMENT;Income tax returns (last 2 years)|ITR;Employment proof / business registration|EMPLOYMENT_PROOF;Return flight itinerary|FLIGHT_ITINERARY;Hotel booking or stay proof|HOTEL_BOOKING</t>
        </is>
      </c>
      <c r="N9" s="4" t="inlineStr">
        <is>
          <t>true</t>
        </is>
      </c>
      <c r="O9" s="4" t="inlineStr">
        <is>
          <t>https://france-visas.gouv.fr</t>
        </is>
      </c>
    </row>
    <row r="10">
      <c r="A10" s="4" t="inlineStr">
        <is>
          <t>GE</t>
        </is>
      </c>
      <c r="B10" s="4" t="inlineStr">
        <is>
          <t>GE_TOURIST_INFO</t>
        </is>
      </c>
      <c r="C10" s="4" t="inlineStr">
        <is>
          <t>Georgia</t>
        </is>
      </c>
      <c r="D10" s="4" t="inlineStr">
        <is>
          <t>E_VISA</t>
        </is>
      </c>
      <c r="E10" s="4" t="inlineStr">
        <is>
          <t>EUROPE</t>
        </is>
      </c>
      <c r="F10" s="4" t="inlineStr">
        <is>
          <t>FULFILLED</t>
        </is>
      </c>
      <c r="G10" s="12" t="n">
        <v>120</v>
      </c>
      <c r="H10" s="12" t="n">
        <v>30</v>
      </c>
      <c r="I10" s="4" t="inlineStr">
        <is>
          <t>SINGLE</t>
        </is>
      </c>
      <c r="J10" s="12" t="n">
        <v>2100</v>
      </c>
      <c r="K10" s="12" t="n">
        <v>1500</v>
      </c>
      <c r="L10" s="12" t="n">
        <v>5</v>
      </c>
      <c r="M10" s="4" t="inlineStr">
        <is>
          <t>Passport bio page|PASSPORT_BIO;Passport-size photo|PHOTO</t>
        </is>
      </c>
      <c r="N10" s="4" t="inlineStr">
        <is>
          <t>true</t>
        </is>
      </c>
      <c r="O10" s="4" t="inlineStr">
        <is>
          <t>https://www.evisa.gov.ge</t>
        </is>
      </c>
    </row>
    <row r="11">
      <c r="A11" s="4" t="inlineStr">
        <is>
          <t>DE</t>
        </is>
      </c>
      <c r="B11" s="4" t="inlineStr">
        <is>
          <t>DE_TOURIST_INFO</t>
        </is>
      </c>
      <c r="C11" s="4" t="inlineStr">
        <is>
          <t>Germany (Schengen)</t>
        </is>
      </c>
      <c r="D11" s="4" t="inlineStr">
        <is>
          <t>ASSISTED</t>
        </is>
      </c>
      <c r="E11" s="4" t="inlineStr">
        <is>
          <t>EUROPE</t>
        </is>
      </c>
      <c r="F11" s="4" t="inlineStr">
        <is>
          <t>FULFILLED</t>
        </is>
      </c>
      <c r="G11" s="12" t="n">
        <v>180</v>
      </c>
      <c r="H11" s="12" t="n">
        <v>90</v>
      </c>
      <c r="I11" s="4" t="inlineStr">
        <is>
          <t>MULTIPLE</t>
        </is>
      </c>
      <c r="J11" s="12" t="n">
        <v>8100</v>
      </c>
      <c r="K11" s="12" t="n">
        <v>4000</v>
      </c>
      <c r="L11" s="12" t="n">
        <v>15</v>
      </c>
      <c r="M11" s="4" t="inlineStr">
        <is>
          <t>Passport bio page|PASSPORT_BIO;Passport-size photo|PHOTO;Bank statements (last 3–6 months)|BANK_STATEMENT;Income tax returns (last 2 years)|ITR;Employment proof / business registration|EMPLOYMENT_PROOF;Return flight itinerary|FLIGHT_ITINERARY;Hotel booking or stay proof|HOTEL_BOOKING</t>
        </is>
      </c>
      <c r="N11" s="4" t="inlineStr">
        <is>
          <t>true</t>
        </is>
      </c>
      <c r="O11" s="4" t="inlineStr">
        <is>
          <t>https://digital.diplo.de</t>
        </is>
      </c>
    </row>
    <row r="12">
      <c r="A12" s="4" t="inlineStr">
        <is>
          <t>HK</t>
        </is>
      </c>
      <c r="B12" s="4" t="inlineStr">
        <is>
          <t>HK_TOURIST_INFO</t>
        </is>
      </c>
      <c r="C12" s="4" t="inlineStr">
        <is>
          <t>Hong Kong</t>
        </is>
      </c>
      <c r="D12" s="4" t="inlineStr">
        <is>
          <t>ETA</t>
        </is>
      </c>
      <c r="E12" s="4" t="inlineStr">
        <is>
          <t>ASIA</t>
        </is>
      </c>
      <c r="F12" s="4" t="inlineStr">
        <is>
          <t>INFO_ONLY</t>
        </is>
      </c>
      <c r="G12" s="12" t="n">
        <v>180</v>
      </c>
      <c r="H12" s="12" t="n">
        <v>14</v>
      </c>
      <c r="I12" s="4" t="inlineStr">
        <is>
          <t>MULTIPLE</t>
        </is>
      </c>
      <c r="J12" s="12" t="n">
        <v>0</v>
      </c>
      <c r="K12" s="12" t="n">
        <v>0</v>
      </c>
      <c r="L12" s="12" t="n">
        <v>1</v>
      </c>
      <c r="M12" s="4" t="inlineStr"/>
      <c r="N12" s="4" t="inlineStr">
        <is>
          <t>true</t>
        </is>
      </c>
      <c r="O12" s="4" t="inlineStr">
        <is>
          <t>https://www.immd.gov.hk</t>
        </is>
      </c>
    </row>
    <row r="13">
      <c r="A13" s="4" t="inlineStr">
        <is>
          <t>ID</t>
        </is>
      </c>
      <c r="B13" s="4" t="inlineStr">
        <is>
          <t>ID_TOURIST_INFO</t>
        </is>
      </c>
      <c r="C13" s="4" t="inlineStr">
        <is>
          <t>Indonesia</t>
        </is>
      </c>
      <c r="D13" s="4" t="inlineStr">
        <is>
          <t>VISA_ON_ARRIVAL</t>
        </is>
      </c>
      <c r="E13" s="4" t="inlineStr">
        <is>
          <t>ASIA</t>
        </is>
      </c>
      <c r="F13" s="4" t="inlineStr">
        <is>
          <t>INFO_ONLY</t>
        </is>
      </c>
      <c r="G13" s="12" t="n">
        <v>30</v>
      </c>
      <c r="H13" s="12" t="n">
        <v>30</v>
      </c>
      <c r="I13" s="4" t="inlineStr">
        <is>
          <t>SINGLE</t>
        </is>
      </c>
      <c r="J13" s="12" t="n">
        <v>2700</v>
      </c>
      <c r="K13" s="12" t="n">
        <v>0</v>
      </c>
      <c r="L13" s="12" t="n">
        <v>1</v>
      </c>
      <c r="M13" s="4" t="inlineStr"/>
      <c r="N13" s="4" t="inlineStr">
        <is>
          <t>true</t>
        </is>
      </c>
      <c r="O13" s="4" t="inlineStr">
        <is>
          <t>https://molina.imigrasi.go.id</t>
        </is>
      </c>
    </row>
    <row r="14">
      <c r="A14" s="4" t="inlineStr">
        <is>
          <t>IT</t>
        </is>
      </c>
      <c r="B14" s="4" t="inlineStr">
        <is>
          <t>IT_TOURIST_INFO</t>
        </is>
      </c>
      <c r="C14" s="4" t="inlineStr">
        <is>
          <t>Italy (Schengen)</t>
        </is>
      </c>
      <c r="D14" s="4" t="inlineStr">
        <is>
          <t>ASSISTED</t>
        </is>
      </c>
      <c r="E14" s="4" t="inlineStr">
        <is>
          <t>EUROPE</t>
        </is>
      </c>
      <c r="F14" s="4" t="inlineStr">
        <is>
          <t>FULFILLED</t>
        </is>
      </c>
      <c r="G14" s="12" t="n">
        <v>180</v>
      </c>
      <c r="H14" s="12" t="n">
        <v>90</v>
      </c>
      <c r="I14" s="4" t="inlineStr">
        <is>
          <t>MULTIPLE</t>
        </is>
      </c>
      <c r="J14" s="12" t="n">
        <v>8100</v>
      </c>
      <c r="K14" s="12" t="n">
        <v>4000</v>
      </c>
      <c r="L14" s="12" t="n">
        <v>15</v>
      </c>
      <c r="M14" s="4" t="inlineStr">
        <is>
          <t>Passport bio page|PASSPORT_BIO;Passport-size photo|PHOTO;Bank statements (last 3–6 months)|BANK_STATEMENT;Income tax returns (last 2 years)|ITR;Employment proof / business registration|EMPLOYMENT_PROOF;Return flight itinerary|FLIGHT_ITINERARY;Hotel booking or stay proof|HOTEL_BOOKING</t>
        </is>
      </c>
      <c r="N14" s="4" t="inlineStr">
        <is>
          <t>true</t>
        </is>
      </c>
      <c r="O14" s="4" t="inlineStr">
        <is>
          <t>https://vistoperitalia.esteri.it</t>
        </is>
      </c>
    </row>
    <row r="15">
      <c r="A15" s="4" t="inlineStr">
        <is>
          <t>JP</t>
        </is>
      </c>
      <c r="B15" s="4" t="inlineStr">
        <is>
          <t>JP_TOURIST_INFO</t>
        </is>
      </c>
      <c r="C15" s="4" t="inlineStr">
        <is>
          <t>Japan</t>
        </is>
      </c>
      <c r="D15" s="4" t="inlineStr">
        <is>
          <t>ASSISTED</t>
        </is>
      </c>
      <c r="E15" s="4" t="inlineStr">
        <is>
          <t>ASIA</t>
        </is>
      </c>
      <c r="F15" s="4" t="inlineStr">
        <is>
          <t>FULFILLED</t>
        </is>
      </c>
      <c r="G15" s="12" t="n">
        <v>90</v>
      </c>
      <c r="H15" s="12" t="n">
        <v>15</v>
      </c>
      <c r="I15" s="4" t="inlineStr">
        <is>
          <t>SINGLE</t>
        </is>
      </c>
      <c r="J15" s="12" t="n">
        <v>1700</v>
      </c>
      <c r="K15" s="12" t="n">
        <v>3500</v>
      </c>
      <c r="L15" s="12" t="n">
        <v>5</v>
      </c>
      <c r="M15" s="4" t="inlineStr">
        <is>
          <t>Passport bio page|PASSPORT_BIO;Passport-size photo|PHOTO;Bank statements (last 3–6 months)|BANK_STATEMENT;Return flight itinerary|FLIGHT_ITINERARY;Hotel booking or stay proof|HOTEL_BOOKING</t>
        </is>
      </c>
      <c r="N15" s="4" t="inlineStr">
        <is>
          <t>true</t>
        </is>
      </c>
      <c r="O15" s="4" t="inlineStr">
        <is>
          <t>https://www.mofa.go.jp</t>
        </is>
      </c>
    </row>
    <row r="16">
      <c r="A16" s="4" t="inlineStr">
        <is>
          <t>KE</t>
        </is>
      </c>
      <c r="B16" s="4" t="inlineStr">
        <is>
          <t>KE_TOURIST_INFO</t>
        </is>
      </c>
      <c r="C16" s="4" t="inlineStr">
        <is>
          <t>Kenya</t>
        </is>
      </c>
      <c r="D16" s="4" t="inlineStr">
        <is>
          <t>ETA</t>
        </is>
      </c>
      <c r="E16" s="4" t="inlineStr">
        <is>
          <t>AFRICA</t>
        </is>
      </c>
      <c r="F16" s="4" t="inlineStr">
        <is>
          <t>FULFILLED</t>
        </is>
      </c>
      <c r="G16" s="12" t="n">
        <v>90</v>
      </c>
      <c r="H16" s="12" t="n">
        <v>90</v>
      </c>
      <c r="I16" s="4" t="inlineStr">
        <is>
          <t>SINGLE</t>
        </is>
      </c>
      <c r="J16" s="12" t="n">
        <v>2900</v>
      </c>
      <c r="K16" s="12" t="n">
        <v>1500</v>
      </c>
      <c r="L16" s="12" t="n">
        <v>3</v>
      </c>
      <c r="M16" s="4" t="inlineStr">
        <is>
          <t>Passport bio page|PASSPORT_BIO;Passport-size photo|PHOTO;Return flight itinerary|FLIGHT_ITINERARY;Hotel booking or stay proof|HOTEL_BOOKING</t>
        </is>
      </c>
      <c r="N16" s="4" t="inlineStr">
        <is>
          <t>true</t>
        </is>
      </c>
      <c r="O16" s="4" t="inlineStr">
        <is>
          <t>https://www.etakenya.go.ke</t>
        </is>
      </c>
    </row>
    <row r="17">
      <c r="A17" s="4" t="inlineStr">
        <is>
          <t>MY</t>
        </is>
      </c>
      <c r="B17" s="4" t="inlineStr">
        <is>
          <t>MY_TOURIST_INFO</t>
        </is>
      </c>
      <c r="C17" s="4" t="inlineStr">
        <is>
          <t>Malaysia</t>
        </is>
      </c>
      <c r="D17" s="4" t="inlineStr">
        <is>
          <t>VISA_FREE</t>
        </is>
      </c>
      <c r="E17" s="4" t="inlineStr">
        <is>
          <t>ASIA</t>
        </is>
      </c>
      <c r="F17" s="4" t="inlineStr">
        <is>
          <t>INFO_ONLY</t>
        </is>
      </c>
      <c r="G17" s="12" t="n">
        <v>30</v>
      </c>
      <c r="H17" s="12" t="n">
        <v>30</v>
      </c>
      <c r="I17" s="4" t="inlineStr">
        <is>
          <t>SINGLE</t>
        </is>
      </c>
      <c r="J17" s="12" t="n">
        <v>0</v>
      </c>
      <c r="K17" s="12" t="n">
        <v>0</v>
      </c>
      <c r="L17" s="12" t="n">
        <v>1</v>
      </c>
      <c r="M17" s="4" t="inlineStr"/>
      <c r="N17" s="4" t="inlineStr">
        <is>
          <t>true</t>
        </is>
      </c>
      <c r="O17" s="4" t="inlineStr">
        <is>
          <t>https://www.imi.gov.my</t>
        </is>
      </c>
    </row>
    <row r="18">
      <c r="A18" s="4" t="inlineStr">
        <is>
          <t>MV</t>
        </is>
      </c>
      <c r="B18" s="4" t="inlineStr">
        <is>
          <t>MV_TOURIST_INFO</t>
        </is>
      </c>
      <c r="C18" s="4" t="inlineStr">
        <is>
          <t>Maldives</t>
        </is>
      </c>
      <c r="D18" s="4" t="inlineStr">
        <is>
          <t>VISA_ON_ARRIVAL</t>
        </is>
      </c>
      <c r="E18" s="4" t="inlineStr">
        <is>
          <t>ASIA</t>
        </is>
      </c>
      <c r="F18" s="4" t="inlineStr">
        <is>
          <t>INFO_ONLY</t>
        </is>
      </c>
      <c r="G18" s="12" t="n">
        <v>30</v>
      </c>
      <c r="H18" s="12" t="n">
        <v>30</v>
      </c>
      <c r="I18" s="4" t="inlineStr">
        <is>
          <t>SINGLE</t>
        </is>
      </c>
      <c r="J18" s="12" t="n">
        <v>0</v>
      </c>
      <c r="K18" s="12" t="n">
        <v>0</v>
      </c>
      <c r="L18" s="12" t="n">
        <v>1</v>
      </c>
      <c r="M18" s="4" t="inlineStr"/>
      <c r="N18" s="4" t="inlineStr">
        <is>
          <t>true</t>
        </is>
      </c>
      <c r="O18" s="4" t="inlineStr">
        <is>
          <t>https://immigration.gov.mv</t>
        </is>
      </c>
    </row>
    <row r="19">
      <c r="A19" s="4" t="inlineStr">
        <is>
          <t>NP</t>
        </is>
      </c>
      <c r="B19" s="4" t="inlineStr">
        <is>
          <t>NP_TOURIST_INFO</t>
        </is>
      </c>
      <c r="C19" s="4" t="inlineStr">
        <is>
          <t>Nepal</t>
        </is>
      </c>
      <c r="D19" s="4" t="inlineStr">
        <is>
          <t>VISA_FREE</t>
        </is>
      </c>
      <c r="E19" s="4" t="inlineStr">
        <is>
          <t>ASIA</t>
        </is>
      </c>
      <c r="F19" s="4" t="inlineStr">
        <is>
          <t>INFO_ONLY</t>
        </is>
      </c>
      <c r="G19" s="12" t="n">
        <v>365</v>
      </c>
      <c r="H19" s="12" t="n">
        <v>365</v>
      </c>
      <c r="I19" s="4" t="inlineStr">
        <is>
          <t>MULTIPLE</t>
        </is>
      </c>
      <c r="J19" s="12" t="n">
        <v>0</v>
      </c>
      <c r="K19" s="12" t="n">
        <v>0</v>
      </c>
      <c r="L19" s="12" t="n">
        <v>1</v>
      </c>
      <c r="M19" s="4" t="inlineStr"/>
      <c r="N19" s="4" t="inlineStr">
        <is>
          <t>true</t>
        </is>
      </c>
      <c r="O19" s="4" t="inlineStr">
        <is>
          <t>https://www.immigration.gov.np</t>
        </is>
      </c>
    </row>
    <row r="20">
      <c r="A20" s="4" t="inlineStr">
        <is>
          <t>NL</t>
        </is>
      </c>
      <c r="B20" s="4" t="inlineStr">
        <is>
          <t>NL_TOURIST_INFO</t>
        </is>
      </c>
      <c r="C20" s="4" t="inlineStr">
        <is>
          <t>Netherlands (Schengen)</t>
        </is>
      </c>
      <c r="D20" s="4" t="inlineStr">
        <is>
          <t>ASSISTED</t>
        </is>
      </c>
      <c r="E20" s="4" t="inlineStr">
        <is>
          <t>EUROPE</t>
        </is>
      </c>
      <c r="F20" s="4" t="inlineStr">
        <is>
          <t>FULFILLED</t>
        </is>
      </c>
      <c r="G20" s="12" t="n">
        <v>180</v>
      </c>
      <c r="H20" s="12" t="n">
        <v>90</v>
      </c>
      <c r="I20" s="4" t="inlineStr">
        <is>
          <t>MULTIPLE</t>
        </is>
      </c>
      <c r="J20" s="12" t="n">
        <v>8100</v>
      </c>
      <c r="K20" s="12" t="n">
        <v>4000</v>
      </c>
      <c r="L20" s="12" t="n">
        <v>15</v>
      </c>
      <c r="M20" s="4" t="inlineStr">
        <is>
          <t>Passport bio page|PASSPORT_BIO;Passport-size photo|PHOTO;Bank statements (last 3–6 months)|BANK_STATEMENT;Income tax returns (last 2 years)|ITR;Employment proof / business registration|EMPLOYMENT_PROOF;Return flight itinerary|FLIGHT_ITINERARY;Hotel booking or stay proof|HOTEL_BOOKING</t>
        </is>
      </c>
      <c r="N20" s="4" t="inlineStr">
        <is>
          <t>true</t>
        </is>
      </c>
      <c r="O20" s="4" t="inlineStr">
        <is>
          <t>https://www.netherlandsandyou.nl</t>
        </is>
      </c>
    </row>
    <row r="21">
      <c r="A21" s="4" t="inlineStr">
        <is>
          <t>NZ</t>
        </is>
      </c>
      <c r="B21" s="4" t="inlineStr">
        <is>
          <t>NZ_VISITOR</t>
        </is>
      </c>
      <c r="C21" s="4" t="inlineStr">
        <is>
          <t>New Zealand</t>
        </is>
      </c>
      <c r="D21" s="4" t="inlineStr">
        <is>
          <t>ASSISTED</t>
        </is>
      </c>
      <c r="E21" s="4" t="inlineStr">
        <is>
          <t>OCEANIA</t>
        </is>
      </c>
      <c r="F21" s="4" t="inlineStr">
        <is>
          <t>FULFILLED</t>
        </is>
      </c>
      <c r="G21" s="12" t="n">
        <v>270</v>
      </c>
      <c r="H21" s="12" t="n">
        <v>90</v>
      </c>
      <c r="I21" s="4" t="inlineStr">
        <is>
          <t>MULTIPLE</t>
        </is>
      </c>
      <c r="J21" s="12" t="n">
        <v>17500</v>
      </c>
      <c r="K21" s="12" t="n">
        <v>3500</v>
      </c>
      <c r="L21" s="12" t="n">
        <v>30</v>
      </c>
      <c r="M21" s="4" t="inlineStr">
        <is>
          <t>Passport bio page|PASSPORT_BIO;Passport-size photo|PHOTO;Bank statements (last 3–6 months)|BANK_STATEMENT;Employment proof / business registration|EMPLOYMENT_PROOF</t>
        </is>
      </c>
      <c r="N21" s="4" t="inlineStr">
        <is>
          <t>true</t>
        </is>
      </c>
      <c r="O21" s="4" t="inlineStr"/>
    </row>
    <row r="22">
      <c r="A22" s="4" t="inlineStr">
        <is>
          <t>NG</t>
        </is>
      </c>
      <c r="B22" s="4" t="inlineStr">
        <is>
          <t>NG_TOURIST_EVISA</t>
        </is>
      </c>
      <c r="C22" s="4" t="inlineStr">
        <is>
          <t>Nigeria</t>
        </is>
      </c>
      <c r="D22" s="4" t="inlineStr">
        <is>
          <t>E_VISA</t>
        </is>
      </c>
      <c r="E22" s="4" t="inlineStr">
        <is>
          <t>AFRICA</t>
        </is>
      </c>
      <c r="F22" s="4" t="inlineStr">
        <is>
          <t>FULFILLED</t>
        </is>
      </c>
      <c r="G22" s="12" t="n">
        <v>90</v>
      </c>
      <c r="H22" s="12" t="n">
        <v>30</v>
      </c>
      <c r="I22" s="4" t="inlineStr">
        <is>
          <t>SINGLE</t>
        </is>
      </c>
      <c r="J22" s="12" t="n">
        <v>21500</v>
      </c>
      <c r="K22" s="12" t="n">
        <v>2500</v>
      </c>
      <c r="L22" s="12" t="n">
        <v>5</v>
      </c>
      <c r="M22" s="4" t="inlineStr">
        <is>
          <t>Passport bio page|PASSPORT_BIO;Passport-size photo|PHOTO;Return flight itinerary|FLIGHT_ITINERARY;Hotel booking or stay proof|HOTEL_BOOKING;Bank statements (last 3–6 months)|BANK_STATEMENT</t>
        </is>
      </c>
      <c r="N22" s="4" t="inlineStr">
        <is>
          <t>true</t>
        </is>
      </c>
      <c r="O22" s="4" t="inlineStr"/>
    </row>
    <row r="23">
      <c r="A23" s="4" t="inlineStr">
        <is>
          <t>PH</t>
        </is>
      </c>
      <c r="B23" s="4" t="inlineStr">
        <is>
          <t>PH_TOURIST_INFO</t>
        </is>
      </c>
      <c r="C23" s="4" t="inlineStr">
        <is>
          <t>Philippines</t>
        </is>
      </c>
      <c r="D23" s="4" t="inlineStr">
        <is>
          <t>ASSISTED</t>
        </is>
      </c>
      <c r="E23" s="4" t="inlineStr">
        <is>
          <t>ASIA</t>
        </is>
      </c>
      <c r="F23" s="4" t="inlineStr">
        <is>
          <t>FULFILLED</t>
        </is>
      </c>
      <c r="G23" s="12" t="n">
        <v>90</v>
      </c>
      <c r="H23" s="12" t="n">
        <v>59</v>
      </c>
      <c r="I23" s="4" t="inlineStr">
        <is>
          <t>SINGLE</t>
        </is>
      </c>
      <c r="J23" s="12" t="n">
        <v>3000</v>
      </c>
      <c r="K23" s="12" t="n">
        <v>2500</v>
      </c>
      <c r="L23" s="12" t="n">
        <v>10</v>
      </c>
      <c r="M23" s="4" t="inlineStr">
        <is>
          <t>Passport bio page|PASSPORT_BIO;Passport-size photo|PHOTO;Bank statements (last 3–6 months)|BANK_STATEMENT;Return flight itinerary|FLIGHT_ITINERARY;Hotel booking or stay proof|HOTEL_BOOKING</t>
        </is>
      </c>
      <c r="N23" s="4" t="inlineStr">
        <is>
          <t>true</t>
        </is>
      </c>
      <c r="O23" s="4" t="inlineStr">
        <is>
          <t>https://evisa.gov.ph</t>
        </is>
      </c>
    </row>
    <row r="24">
      <c r="A24" s="4" t="inlineStr">
        <is>
          <t>SG</t>
        </is>
      </c>
      <c r="B24" s="4" t="inlineStr">
        <is>
          <t>SG_TOURIST_INFO</t>
        </is>
      </c>
      <c r="C24" s="4" t="inlineStr">
        <is>
          <t>Singapore</t>
        </is>
      </c>
      <c r="D24" s="4" t="inlineStr">
        <is>
          <t>E_VISA</t>
        </is>
      </c>
      <c r="E24" s="4" t="inlineStr">
        <is>
          <t>ASIA</t>
        </is>
      </c>
      <c r="F24" s="4" t="inlineStr">
        <is>
          <t>FULFILLED</t>
        </is>
      </c>
      <c r="G24" s="12" t="n">
        <v>63</v>
      </c>
      <c r="H24" s="12" t="n">
        <v>30</v>
      </c>
      <c r="I24" s="4" t="inlineStr">
        <is>
          <t>MULTIPLE</t>
        </is>
      </c>
      <c r="J24" s="12" t="n">
        <v>2600</v>
      </c>
      <c r="K24" s="12" t="n">
        <v>1500</v>
      </c>
      <c r="L24" s="12" t="n">
        <v>4</v>
      </c>
      <c r="M24" s="4" t="inlineStr">
        <is>
          <t>Passport bio page|PASSPORT_BIO;Passport-size photo|PHOTO</t>
        </is>
      </c>
      <c r="N24" s="4" t="inlineStr">
        <is>
          <t>true</t>
        </is>
      </c>
      <c r="O24" s="4" t="inlineStr">
        <is>
          <t>https://www.ica.gov.sg</t>
        </is>
      </c>
    </row>
    <row r="25">
      <c r="A25" s="4" t="inlineStr">
        <is>
          <t>KR</t>
        </is>
      </c>
      <c r="B25" s="4" t="inlineStr">
        <is>
          <t>KR_TOURIST_INFO</t>
        </is>
      </c>
      <c r="C25" s="4" t="inlineStr">
        <is>
          <t>South Korea</t>
        </is>
      </c>
      <c r="D25" s="4" t="inlineStr">
        <is>
          <t>ASSISTED</t>
        </is>
      </c>
      <c r="E25" s="4" t="inlineStr">
        <is>
          <t>ASIA</t>
        </is>
      </c>
      <c r="F25" s="4" t="inlineStr">
        <is>
          <t>FULFILLED</t>
        </is>
      </c>
      <c r="G25" s="12" t="n">
        <v>90</v>
      </c>
      <c r="H25" s="12" t="n">
        <v>90</v>
      </c>
      <c r="I25" s="4" t="inlineStr">
        <is>
          <t>SINGLE</t>
        </is>
      </c>
      <c r="J25" s="12" t="n">
        <v>3400</v>
      </c>
      <c r="K25" s="12" t="n">
        <v>3500</v>
      </c>
      <c r="L25" s="12" t="n">
        <v>10</v>
      </c>
      <c r="M25" s="4" t="inlineStr">
        <is>
          <t>Passport bio page|PASSPORT_BIO;Passport-size photo|PHOTO;Bank statements (last 3–6 months)|BANK_STATEMENT;Return flight itinerary|FLIGHT_ITINERARY;Hotel booking or stay proof|HOTEL_BOOKING</t>
        </is>
      </c>
      <c r="N25" s="4" t="inlineStr">
        <is>
          <t>true</t>
        </is>
      </c>
      <c r="O25" s="4" t="inlineStr">
        <is>
          <t>https://www.visa.go.kr</t>
        </is>
      </c>
    </row>
    <row r="26">
      <c r="A26" s="4" t="inlineStr">
        <is>
          <t>LK</t>
        </is>
      </c>
      <c r="B26" s="4" t="inlineStr">
        <is>
          <t>LK_TOURIST_INFO</t>
        </is>
      </c>
      <c r="C26" s="4" t="inlineStr">
        <is>
          <t>Sri Lanka</t>
        </is>
      </c>
      <c r="D26" s="4" t="inlineStr">
        <is>
          <t>ETA</t>
        </is>
      </c>
      <c r="E26" s="4" t="inlineStr">
        <is>
          <t>ASIA</t>
        </is>
      </c>
      <c r="F26" s="4" t="inlineStr">
        <is>
          <t>INFO_ONLY</t>
        </is>
      </c>
      <c r="G26" s="12" t="n">
        <v>30</v>
      </c>
      <c r="H26" s="12" t="n">
        <v>30</v>
      </c>
      <c r="I26" s="4" t="inlineStr">
        <is>
          <t>MULTIPLE</t>
        </is>
      </c>
      <c r="J26" s="12" t="n">
        <v>0</v>
      </c>
      <c r="K26" s="12" t="n">
        <v>0</v>
      </c>
      <c r="L26" s="12" t="n">
        <v>2</v>
      </c>
      <c r="M26" s="4" t="inlineStr"/>
      <c r="N26" s="4" t="inlineStr">
        <is>
          <t>true</t>
        </is>
      </c>
      <c r="O26" s="4" t="inlineStr">
        <is>
          <t>https://eta.gov.lk</t>
        </is>
      </c>
    </row>
    <row r="27">
      <c r="A27" s="4" t="inlineStr">
        <is>
          <t>TZ</t>
        </is>
      </c>
      <c r="B27" s="4" t="inlineStr">
        <is>
          <t>TZ_TOURIST_EVISA</t>
        </is>
      </c>
      <c r="C27" s="4" t="inlineStr">
        <is>
          <t>Tanzania</t>
        </is>
      </c>
      <c r="D27" s="4" t="inlineStr">
        <is>
          <t>E_VISA</t>
        </is>
      </c>
      <c r="E27" s="4" t="inlineStr">
        <is>
          <t>AFRICA</t>
        </is>
      </c>
      <c r="F27" s="4" t="inlineStr">
        <is>
          <t>FULFILLED</t>
        </is>
      </c>
      <c r="G27" s="12" t="n">
        <v>90</v>
      </c>
      <c r="H27" s="12" t="n">
        <v>90</v>
      </c>
      <c r="I27" s="4" t="inlineStr">
        <is>
          <t>SINGLE</t>
        </is>
      </c>
      <c r="J27" s="12" t="n">
        <v>4300</v>
      </c>
      <c r="K27" s="12" t="n">
        <v>1500</v>
      </c>
      <c r="L27" s="12" t="n">
        <v>7</v>
      </c>
      <c r="M27" s="4" t="inlineStr">
        <is>
          <t>Passport bio page|PASSPORT_BIO;Passport-size photo|PHOTO;Return flight itinerary|FLIGHT_ITINERARY;Hotel booking or stay proof|HOTEL_BOOKING</t>
        </is>
      </c>
      <c r="N27" s="4" t="inlineStr">
        <is>
          <t>true</t>
        </is>
      </c>
      <c r="O27" s="4" t="inlineStr"/>
    </row>
    <row r="28">
      <c r="A28" s="4" t="inlineStr">
        <is>
          <t>TH</t>
        </is>
      </c>
      <c r="B28" s="4" t="inlineStr">
        <is>
          <t>TH_TOURIST_INFO</t>
        </is>
      </c>
      <c r="C28" s="4" t="inlineStr">
        <is>
          <t>Thailand</t>
        </is>
      </c>
      <c r="D28" s="4" t="inlineStr">
        <is>
          <t>VISA_FREE</t>
        </is>
      </c>
      <c r="E28" s="4" t="inlineStr">
        <is>
          <t>ASIA</t>
        </is>
      </c>
      <c r="F28" s="4" t="inlineStr">
        <is>
          <t>INFO_ONLY</t>
        </is>
      </c>
      <c r="G28" s="12" t="n">
        <v>60</v>
      </c>
      <c r="H28" s="12" t="n">
        <v>60</v>
      </c>
      <c r="I28" s="4" t="inlineStr">
        <is>
          <t>SINGLE</t>
        </is>
      </c>
      <c r="J28" s="12" t="n">
        <v>0</v>
      </c>
      <c r="K28" s="12" t="n">
        <v>0</v>
      </c>
      <c r="L28" s="12" t="n">
        <v>1</v>
      </c>
      <c r="M28" s="4" t="inlineStr"/>
      <c r="N28" s="4" t="inlineStr">
        <is>
          <t>true</t>
        </is>
      </c>
      <c r="O28" s="4" t="inlineStr">
        <is>
          <t>https://www.mfa.go.th</t>
        </is>
      </c>
    </row>
    <row r="29">
      <c r="A29" s="4" t="inlineStr">
        <is>
          <t>TR</t>
        </is>
      </c>
      <c r="B29" s="4" t="inlineStr">
        <is>
          <t>TR_TOURIST_INFO</t>
        </is>
      </c>
      <c r="C29" s="4" t="inlineStr">
        <is>
          <t>Türkiye</t>
        </is>
      </c>
      <c r="D29" s="4" t="inlineStr">
        <is>
          <t>ASSISTED</t>
        </is>
      </c>
      <c r="E29" s="4" t="inlineStr">
        <is>
          <t>MIDDLE_EAST</t>
        </is>
      </c>
      <c r="F29" s="4" t="inlineStr">
        <is>
          <t>FULFILLED</t>
        </is>
      </c>
      <c r="G29" s="12" t="n">
        <v>180</v>
      </c>
      <c r="H29" s="12" t="n">
        <v>30</v>
      </c>
      <c r="I29" s="4" t="inlineStr">
        <is>
          <t>SINGLE</t>
        </is>
      </c>
      <c r="J29" s="12" t="n">
        <v>5100</v>
      </c>
      <c r="K29" s="12" t="n">
        <v>3500</v>
      </c>
      <c r="L29" s="12" t="n">
        <v>15</v>
      </c>
      <c r="M29" s="4" t="inlineStr">
        <is>
          <t>Passport bio page|PASSPORT_BIO;Passport-size photo|PHOTO;Bank statements (last 3–6 months)|BANK_STATEMENT;Return flight itinerary|FLIGHT_ITINERARY;Hotel booking or stay proof|HOTEL_BOOKING</t>
        </is>
      </c>
      <c r="N29" s="4" t="inlineStr">
        <is>
          <t>true</t>
        </is>
      </c>
      <c r="O29" s="4" t="inlineStr">
        <is>
          <t>https://www.mfa.gov.tr</t>
        </is>
      </c>
    </row>
    <row r="30">
      <c r="A30" s="4" t="inlineStr">
        <is>
          <t>UG</t>
        </is>
      </c>
      <c r="B30" s="4" t="inlineStr">
        <is>
          <t>UG_TOURIST_EVISA</t>
        </is>
      </c>
      <c r="C30" s="4" t="inlineStr">
        <is>
          <t>Uganda</t>
        </is>
      </c>
      <c r="D30" s="4" t="inlineStr">
        <is>
          <t>E_VISA</t>
        </is>
      </c>
      <c r="E30" s="4" t="inlineStr">
        <is>
          <t>AFRICA</t>
        </is>
      </c>
      <c r="F30" s="4" t="inlineStr">
        <is>
          <t>FULFILLED</t>
        </is>
      </c>
      <c r="G30" s="12" t="n">
        <v>90</v>
      </c>
      <c r="H30" s="12" t="n">
        <v>45</v>
      </c>
      <c r="I30" s="4" t="inlineStr">
        <is>
          <t>SINGLE</t>
        </is>
      </c>
      <c r="J30" s="12" t="n">
        <v>4300</v>
      </c>
      <c r="K30" s="12" t="n">
        <v>1500</v>
      </c>
      <c r="L30" s="12" t="n">
        <v>3</v>
      </c>
      <c r="M30" s="4" t="inlineStr">
        <is>
          <t>Passport bio page|PASSPORT_BIO;Passport-size photo|PHOTO;Yellow fever vaccination certificate|YELLOW_FEVER_CERT;Return flight itinerary|FLIGHT_ITINERARY</t>
        </is>
      </c>
      <c r="N30" s="4" t="inlineStr">
        <is>
          <t>true</t>
        </is>
      </c>
      <c r="O30" s="4" t="inlineStr"/>
    </row>
    <row r="31">
      <c r="A31" s="4" t="inlineStr">
        <is>
          <t>AE</t>
        </is>
      </c>
      <c r="B31" s="4" t="inlineStr">
        <is>
          <t>AE_TOURIST_30D_SINGLE</t>
        </is>
      </c>
      <c r="C31" s="4" t="inlineStr">
        <is>
          <t>United Arab Emirates</t>
        </is>
      </c>
      <c r="D31" s="4" t="inlineStr">
        <is>
          <t>E_VISA</t>
        </is>
      </c>
      <c r="E31" s="4" t="inlineStr">
        <is>
          <t>MIDDLE_EAST</t>
        </is>
      </c>
      <c r="F31" s="4" t="inlineStr">
        <is>
          <t>FULFILLED</t>
        </is>
      </c>
      <c r="G31" s="12" t="n">
        <v>60</v>
      </c>
      <c r="H31" s="12" t="n">
        <v>30</v>
      </c>
      <c r="I31" s="4" t="inlineStr">
        <is>
          <t>SINGLE</t>
        </is>
      </c>
      <c r="J31" s="12" t="n">
        <v>6500</v>
      </c>
      <c r="K31" s="12" t="n">
        <v>1500</v>
      </c>
      <c r="L31" s="12" t="n">
        <v>4</v>
      </c>
      <c r="M31" s="4" t="inlineStr">
        <is>
          <t>Passport bio page|PASSPORT_BIO;Passport-size photo|PHOTO</t>
        </is>
      </c>
      <c r="N31" s="4" t="inlineStr">
        <is>
          <t>true</t>
        </is>
      </c>
      <c r="O31" s="4" t="inlineStr"/>
    </row>
    <row r="32">
      <c r="A32" s="4" t="inlineStr">
        <is>
          <t>GB</t>
        </is>
      </c>
      <c r="B32" s="4" t="inlineStr">
        <is>
          <t>GB_TOURIST_INFO</t>
        </is>
      </c>
      <c r="C32" s="4" t="inlineStr">
        <is>
          <t>United Kingdom</t>
        </is>
      </c>
      <c r="D32" s="4" t="inlineStr">
        <is>
          <t>ASSISTED</t>
        </is>
      </c>
      <c r="E32" s="4" t="inlineStr">
        <is>
          <t>EUROPE</t>
        </is>
      </c>
      <c r="F32" s="4" t="inlineStr">
        <is>
          <t>FULFILLED</t>
        </is>
      </c>
      <c r="G32" s="12" t="n">
        <v>180</v>
      </c>
      <c r="H32" s="12" t="n">
        <v>180</v>
      </c>
      <c r="I32" s="4" t="inlineStr">
        <is>
          <t>MULTIPLE</t>
        </is>
      </c>
      <c r="J32" s="12" t="n">
        <v>12300</v>
      </c>
      <c r="K32" s="12" t="n">
        <v>4000</v>
      </c>
      <c r="L32" s="12" t="n">
        <v>15</v>
      </c>
      <c r="M32" s="4" t="inlineStr">
        <is>
          <t>Passport bio page|PASSPORT_BIO;Passport-size photo|PHOTO;Bank statements (last 3–6 months)|BANK_STATEMENT;Income tax returns (last 2 years)|ITR;Employment proof / business registration|EMPLOYMENT_PROOF</t>
        </is>
      </c>
      <c r="N32" s="4" t="inlineStr">
        <is>
          <t>true</t>
        </is>
      </c>
      <c r="O32" s="4" t="inlineStr">
        <is>
          <t>https://www.gov.uk/standard-visitor-visa</t>
        </is>
      </c>
    </row>
    <row r="33">
      <c r="A33" s="4" t="inlineStr">
        <is>
          <t>US</t>
        </is>
      </c>
      <c r="B33" s="4" t="inlineStr">
        <is>
          <t>US_TOURIST_INFO</t>
        </is>
      </c>
      <c r="C33" s="4" t="inlineStr">
        <is>
          <t>United States</t>
        </is>
      </c>
      <c r="D33" s="4" t="inlineStr">
        <is>
          <t>ASSISTED</t>
        </is>
      </c>
      <c r="E33" s="4" t="inlineStr">
        <is>
          <t>AMERICAS</t>
        </is>
      </c>
      <c r="F33" s="4" t="inlineStr">
        <is>
          <t>FULFILLED</t>
        </is>
      </c>
      <c r="G33" s="12" t="n">
        <v>3650</v>
      </c>
      <c r="H33" s="12" t="n">
        <v>180</v>
      </c>
      <c r="I33" s="4" t="inlineStr">
        <is>
          <t>MULTIPLE</t>
        </is>
      </c>
      <c r="J33" s="12" t="n">
        <v>15500</v>
      </c>
      <c r="K33" s="12" t="n">
        <v>4500</v>
      </c>
      <c r="L33" s="12" t="n">
        <v>60</v>
      </c>
      <c r="M33" s="4" t="inlineStr">
        <is>
          <t>Passport bio page|PASSPORT_BIO;Passport-size photo|PHOTO;Bank statements (last 3–6 months)|BANK_STATEMENT;Income tax returns (last 2 years)|ITR;Employment proof / business registration|EMPLOYMENT_PROOF</t>
        </is>
      </c>
      <c r="N33" s="4" t="inlineStr">
        <is>
          <t>true</t>
        </is>
      </c>
      <c r="O33" s="4" t="inlineStr">
        <is>
          <t>https://travel.state.gov</t>
        </is>
      </c>
    </row>
    <row r="34">
      <c r="A34" s="4" t="inlineStr">
        <is>
          <t>VN</t>
        </is>
      </c>
      <c r="B34" s="4" t="inlineStr">
        <is>
          <t>VN_TOURIST_INFO</t>
        </is>
      </c>
      <c r="C34" s="4" t="inlineStr">
        <is>
          <t>Vietnam</t>
        </is>
      </c>
      <c r="D34" s="4" t="inlineStr">
        <is>
          <t>E_VISA</t>
        </is>
      </c>
      <c r="E34" s="4" t="inlineStr">
        <is>
          <t>ASIA</t>
        </is>
      </c>
      <c r="F34" s="4" t="inlineStr">
        <is>
          <t>FULFILLED</t>
        </is>
      </c>
      <c r="G34" s="12" t="n">
        <v>90</v>
      </c>
      <c r="H34" s="12" t="n">
        <v>90</v>
      </c>
      <c r="I34" s="4" t="inlineStr">
        <is>
          <t>SINGLE</t>
        </is>
      </c>
      <c r="J34" s="12" t="n">
        <v>2100</v>
      </c>
      <c r="K34" s="12" t="n">
        <v>1500</v>
      </c>
      <c r="L34" s="12" t="n">
        <v>5</v>
      </c>
      <c r="M34" s="4" t="inlineStr">
        <is>
          <t>Passport bio page|PASSPORT_BIO;Passport-size photo|PHOTO</t>
        </is>
      </c>
      <c r="N34" s="4" t="inlineStr">
        <is>
          <t>true</t>
        </is>
      </c>
      <c r="O34" s="4" t="inlineStr">
        <is>
          <t>https://evisa.xuatnhapcanh.gov.vn</t>
        </is>
      </c>
    </row>
    <row r="35">
      <c r="A35" s="4" t="inlineStr">
        <is>
          <t>ZM</t>
        </is>
      </c>
      <c r="B35" s="4" t="inlineStr">
        <is>
          <t>ZM_TOURIST_EVISA</t>
        </is>
      </c>
      <c r="C35" s="4" t="inlineStr">
        <is>
          <t>Zambia</t>
        </is>
      </c>
      <c r="D35" s="4" t="inlineStr">
        <is>
          <t>E_VISA</t>
        </is>
      </c>
      <c r="E35" s="4" t="inlineStr">
        <is>
          <t>AFRICA</t>
        </is>
      </c>
      <c r="F35" s="4" t="inlineStr">
        <is>
          <t>FULFILLED</t>
        </is>
      </c>
      <c r="G35" s="12" t="n">
        <v>90</v>
      </c>
      <c r="H35" s="12" t="n">
        <v>30</v>
      </c>
      <c r="I35" s="4" t="inlineStr">
        <is>
          <t>SINGLE</t>
        </is>
      </c>
      <c r="J35" s="12" t="n">
        <v>2200</v>
      </c>
      <c r="K35" s="12" t="n">
        <v>1500</v>
      </c>
      <c r="L35" s="12" t="n">
        <v>7</v>
      </c>
      <c r="M35" s="4" t="inlineStr">
        <is>
          <t>Passport bio page|PASSPORT_BIO;Passport-size photo|PHOTO;Return flight itinerary|FLIGHT_ITINERARY;Hotel booking or stay proof|HOTEL_BOOKING;Cover letter (we help you draft it)|COVER_LETTER</t>
        </is>
      </c>
      <c r="N35" s="4" t="inlineStr">
        <is>
          <t>true</t>
        </is>
      </c>
      <c r="O3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2026-10-07T05:42:51Z</dcterms:created>
  <dcterms:modified xsi:type="dcterms:W3CDTF">2026-10-07T05:42:51Z</dcterms:modified>
</cp:coreProperties>
</file>